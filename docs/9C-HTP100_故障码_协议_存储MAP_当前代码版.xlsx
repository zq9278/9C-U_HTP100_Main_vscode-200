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9C-HTP100\software\Main_control_board\9C-U_HTP100_Main_vscode-200\docs\"/>
    </mc:Choice>
  </mc:AlternateContent>
  <bookViews>
    <workbookView windowHeight="20777" activeTab="7"/>
  </bookViews>
  <sheets>
    <sheet name="总览" sheetId="9" r:id="rId1"/>
    <sheet name="故障码" sheetId="8" r:id="rId2"/>
    <sheet name="屏幕协议" sheetId="7" r:id="rId3"/>
    <sheet name="屏幕命令" sheetId="6" r:id="rId4"/>
    <sheet name="调参协议" sheetId="5" r:id="rId5"/>
    <sheet name="遥测枚举" sheetId="4" r:id="rId6"/>
    <sheet name="主板EEPROM" sheetId="3" r:id="rId7"/>
    <sheet name="压力存储" sheetId="2" r:id="rId8"/>
    <sheet name="眼盾EEPROM" sheetId="1" r:id="rId9"/>
  </sheets>
  <definedNames>
    <definedName name="_xlnm.Print_Area" localSheetId="4">调参协议!$A$1:$H$49</definedName>
    <definedName name="_xlnm.Print_Area" localSheetId="1">故障码!$A$1:$I$14</definedName>
    <definedName name="_xlnm.Print_Area" localSheetId="3">屏幕命令!$A$1:$H$56</definedName>
    <definedName name="_xlnm.Print_Area" localSheetId="2">屏幕协议!$A$1:$H$31</definedName>
    <definedName name="_xlnm.Print_Area" localSheetId="7">压力存储!$A$1:$J$39</definedName>
    <definedName name="_xlnm.Print_Area" localSheetId="8">眼盾EEPROM!$A$1:$H$26</definedName>
    <definedName name="_xlnm.Print_Area" localSheetId="5">遥测枚举!$A$1:$I$55</definedName>
    <definedName name="_xlnm.Print_Area" localSheetId="6">主板EEPROM!$A$1:$K$33</definedName>
    <definedName name="_xlnm.Print_Area" localSheetId="0">总览!$A$1:$H$22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<sst xmlns="http://schemas.openxmlformats.org/spreadsheetml/2006/main" count="1885" uniqueCount="1094">
  <si>
    <t>9C-HTP100 当前故障码、通信协议与存储 MAP</t>
  </si>
  <si>
    <t>口径：以当前工作区源码为准；docs 中旧 Excel/Markdown 仅作迁移参考。生成日期：2026-09-02。</t>
  </si>
  <si>
    <t>关键结论</t>
  </si>
  <si>
    <t>指标</t>
  </si>
  <si>
    <t>值</t>
  </si>
  <si>
    <t>指标2</t>
  </si>
  <si>
    <t>值3</t>
  </si>
  <si>
    <t>指标4</t>
  </si>
  <si>
    <t>值5</t>
  </si>
  <si>
    <t>指标6</t>
  </si>
  <si>
    <t>值7</t>
  </si>
  <si>
    <t>当前有触发路径故障</t>
  </si>
  <si>
    <t>已定义故障（不含 NONE）</t>
  </si>
  <si>
    <t>屏幕 RX 命令/事件</t>
  </si>
  <si>
    <t>主板 EEPROM 字节数</t>
  </si>
  <si>
    <t>屏幕协议</t>
  </si>
  <si>
    <t>USART2 / 115200 8N1 / 5A A5 与 6A A6</t>
  </si>
  <si>
    <t>调参协议</t>
  </si>
  <si>
    <t>USART2 / 7A A7 / 版本 8</t>
  </si>
  <si>
    <t>CRC</t>
  </si>
  <si>
    <t>CRC16-Modbus，初值 FFFF，多项式 A001</t>
  </si>
  <si>
    <t>固件版本</t>
  </si>
  <si>
    <t>故障上报</t>
  </si>
  <si>
    <t>屏幕命令 0x2071，uint32 小端；调参遥测内为 uint16</t>
  </si>
  <si>
    <t>存储字节序</t>
  </si>
  <si>
    <t>普通 U16 大端；压力调参记录和 CRC 小端</t>
  </si>
  <si>
    <t>调参存储实际范围</t>
  </si>
  <si>
    <t>0x20～0x89（106 字节）</t>
  </si>
  <si>
    <t>眼盾服务标记</t>
  </si>
  <si>
    <t>0x0202</t>
  </si>
  <si>
    <t>当前配置风险（必须确认后再作为生产版本）</t>
  </si>
  <si>
    <t>级别</t>
  </si>
  <si>
    <t>配置项</t>
  </si>
  <si>
    <t>当前值</t>
  </si>
  <si>
    <t>实际影响</t>
  </si>
  <si>
    <t>生产建议</t>
  </si>
  <si>
    <t>来源</t>
  </si>
  <si>
    <t>状态</t>
  </si>
  <si>
    <t>备注</t>
  </si>
  <si>
    <t>高</t>
  </si>
  <si>
    <t>PRODUCT_MAIN_EEPROM_FILL_FF_ON_BOOT</t>
  </si>
  <si>
    <t>1U</t>
  </si>
  <si>
    <t>每次上电擦除主板 EEPROM；计数、预设和压力调参均不能持久化</t>
  </si>
  <si>
    <t>生产固件设为 0U</t>
  </si>
  <si>
    <t>App/Inc/product_config.h:13-21</t>
  </si>
  <si>
    <t>测试配置</t>
  </si>
  <si>
    <t>擦除后会重新写入新机默认预设</t>
  </si>
  <si>
    <t>PRODUCT_EYE_FUSE_ENABLED</t>
  </si>
  <si>
    <t>0U</t>
  </si>
  <si>
    <t>不写入也不强制检查眼盾已使用标记；眼盾更换次数不会因治疗开始而累加</t>
  </si>
  <si>
    <t>按产品策略确认是否设为 1U</t>
  </si>
  <si>
    <t>App/Inc/product_config.h:23-31</t>
  </si>
  <si>
    <t>功能关闭</t>
  </si>
  <si>
    <t>服务眼盾 0x0202 仍由读取逻辑识别</t>
  </si>
  <si>
    <t>版本差异提示</t>
  </si>
  <si>
    <t>docs/pressure_tuning_protocol.md 中仍可见旧版描述（协议版本 01、存储至 0x93、旧遥测长度）；当前代码明确为协议版本 8、遥测 61 字节、压力记录 0x20～0x89。本文档全部采用当前代码值。</t>
  </si>
  <si>
    <t>主要源码</t>
  </si>
  <si>
    <t>主题</t>
  </si>
  <si>
    <t>文件</t>
  </si>
  <si>
    <t>主题2</t>
  </si>
  <si>
    <t>文件3</t>
  </si>
  <si>
    <t>主题4</t>
  </si>
  <si>
    <t>文件5</t>
  </si>
  <si>
    <t>主题6</t>
  </si>
  <si>
    <t>文件7</t>
  </si>
  <si>
    <t>故障码</t>
  </si>
  <si>
    <t>App/Inc/app_types.h</t>
  </si>
  <si>
    <t>App/Src/screen_protocol.c</t>
  </si>
  <si>
    <t>App/Src/tuning_protocol.c</t>
  </si>
  <si>
    <t>主 EEPROM</t>
  </si>
  <si>
    <t>Bsp/Src/storage_driver.c</t>
  </si>
  <si>
    <t>故障行为</t>
  </si>
  <si>
    <t>App/Src/app_controller.c</t>
  </si>
  <si>
    <t>压力存储</t>
  </si>
  <si>
    <t>Bsp/Src/pressure_tuning.c</t>
  </si>
  <si>
    <t>眼盾存储</t>
  </si>
  <si>
    <t>Bsp/Src/eye_driver.c</t>
  </si>
  <si>
    <t>串口配置</t>
  </si>
  <si>
    <t>Core/Src/usart.c</t>
  </si>
  <si>
    <t>故障码定义与实际触发路径</t>
  </si>
  <si>
    <t>编码按现有取值体现为：高字节表示类别，低字节表示子项。是否“当前触发”由源码调用路径核对，不等同于是否已枚举。</t>
  </si>
  <si>
    <t>符号</t>
  </si>
  <si>
    <t>类别</t>
  </si>
  <si>
    <t>含义</t>
  </si>
  <si>
    <t>当前触发条件</t>
  </si>
  <si>
    <t>清除/恢复规则</t>
  </si>
  <si>
    <t>当前有触发路径</t>
  </si>
  <si>
    <t>上报位置</t>
  </si>
  <si>
    <t>源码</t>
  </si>
  <si>
    <t>0x0000</t>
  </si>
  <si>
    <t>APP_FAULT_NONE</t>
  </si>
  <si>
    <t>无</t>
  </si>
  <si>
    <t>无故障/清除故障状态</t>
  </si>
  <si>
    <t>正常状态</t>
  </si>
  <si>
    <t>上报 0 可清屏幕故障弹窗</t>
  </si>
  <si>
    <t>否</t>
  </si>
  <si>
    <t>0x2071 / A0 遥测 / A1 回零事件</t>
  </si>
  <si>
    <t>App/Inc/app_types.h:46</t>
  </si>
  <si>
    <t>0x0101</t>
  </si>
  <si>
    <t>APP_FAULT_TMP112_COMM</t>
  </si>
  <si>
    <t>温度/眼盾</t>
  </si>
  <si>
    <t>TMP112 通信或眼盾标记写入失败</t>
  </si>
  <si>
    <t>加热读温失败；首次动作写眼盾标记失败；眼盾状态异常进入动作</t>
  </si>
  <si>
    <t>眼盾通信恢复、处于 FAULT 且回零有效时自动清除</t>
  </si>
  <si>
    <t>是</t>
  </si>
  <si>
    <t>屏幕 0x2071；调参 A0[23..24]</t>
  </si>
  <si>
    <t>App/Src/app_controller.c:109-123,177-190,620-624</t>
  </si>
  <si>
    <t>0x0201</t>
  </si>
  <si>
    <t>APP_FAULT_MOTOR_NOT_FOUND</t>
  </si>
  <si>
    <t>电机</t>
  </si>
  <si>
    <t>电机未找到</t>
  </si>
  <si>
    <t>当前代码无 RaiseFault/赋值路径</t>
  </si>
  <si>
    <t>未实现专用清除逻辑</t>
  </si>
  <si>
    <t>定义保留</t>
  </si>
  <si>
    <t>App/Inc/app_types.h:48</t>
  </si>
  <si>
    <t>APP_FAULT_MOTOR_COMM</t>
  </si>
  <si>
    <t>电机通信/启动失败</t>
  </si>
  <si>
    <t>回零启动失败；压力控制启动失败</t>
  </si>
  <si>
    <t>无自动清除；通常需排障并重启</t>
  </si>
  <si>
    <t>屏幕 0x2071；调参遥测</t>
  </si>
  <si>
    <t>App/Src/app_controller.c:162-170,291-295</t>
  </si>
  <si>
    <t>0x0203</t>
  </si>
  <si>
    <t>APP_FAULT_MOTOR_HOME</t>
  </si>
  <si>
    <t>回零失败</t>
  </si>
  <si>
    <t>异步回零返回失败</t>
  </si>
  <si>
    <t>屏幕 0x2071；A1 回零事件</t>
  </si>
  <si>
    <t>App/Src/app_controller.c:555-574</t>
  </si>
  <si>
    <t>0x0301</t>
  </si>
  <si>
    <t>APP_FAULT_PRESSURE_SENSOR</t>
  </si>
  <si>
    <t>压力</t>
  </si>
  <si>
    <t>压力传感器故障</t>
  </si>
  <si>
    <t>App/Inc/app_types.h:51</t>
  </si>
  <si>
    <t>0x0302</t>
  </si>
  <si>
    <t>APP_FAULT_PRESSURE_COMM</t>
  </si>
  <si>
    <t>压力采集/控制通信失败</t>
  </si>
  <si>
    <t>运行中 PressureStep 返回失败</t>
  </si>
  <si>
    <t>App/Src/app_controller.c:685-689</t>
  </si>
  <si>
    <t>0x0303</t>
  </si>
  <si>
    <t>APP_FAULT_PRESSURE_ZERO</t>
  </si>
  <si>
    <t>压力零点故障</t>
  </si>
  <si>
    <t>当前代码无 RaiseFault/赋值路径；零点无效以联锁/ACK 状态 10 表示</t>
  </si>
  <si>
    <t>未实现专用故障清除逻辑</t>
  </si>
  <si>
    <t>App/Inc/app_types.h:53</t>
  </si>
  <si>
    <t>0x0401</t>
  </si>
  <si>
    <t>APP_FAULT_OVER_TEMPERATURE</t>
  </si>
  <si>
    <t>安全</t>
  </si>
  <si>
    <t>超温</t>
  </si>
  <si>
    <t>实测温度 ≥44.0°C 且连续保持 5000 ms</t>
  </si>
  <si>
    <t>安全停机并回零；回零成功后自动清除</t>
  </si>
  <si>
    <t>App/Src/app_controller.c:628-642,596-598</t>
  </si>
  <si>
    <t>0x0402</t>
  </si>
  <si>
    <t>APP_FAULT_OVER_PRESSURE</t>
  </si>
  <si>
    <t>超压</t>
  </si>
  <si>
    <t>实测压力 ≥650 mmHg；先停止压力电机再上报</t>
  </si>
  <si>
    <t>安全停机并回零；回零成功且零点校准有效后自动清除</t>
  </si>
  <si>
    <t>App/Src/app_controller.c:691-697,592-595</t>
  </si>
  <si>
    <t>0x0501</t>
  </si>
  <si>
    <t>APP_FAULT_SCREEN_TIMEOUT</t>
  </si>
  <si>
    <t>屏幕</t>
  </si>
  <si>
    <t>屏幕通信超时</t>
  </si>
  <si>
    <t>当前仅定义 APP_SCREEN_TIMEOUT_MS=2000，未实现检测/触发</t>
  </si>
  <si>
    <t>App/Inc/app_config.h:32; App/Inc/app_types.h:56</t>
  </si>
  <si>
    <t>屏幕协议帧格式</t>
  </si>
  <si>
    <t>USART2：115200 baud、8 data bits、No parity、1 stop bit、无硬件流控。命令字节为高位在前，负载和 CRC 为低位在前。</t>
  </si>
  <si>
    <t>项目</t>
  </si>
  <si>
    <t>工作帧</t>
  </si>
  <si>
    <t>设置帧</t>
  </si>
  <si>
    <t>说明</t>
  </si>
  <si>
    <t>项目2</t>
  </si>
  <si>
    <t>覆盖范围</t>
  </si>
  <si>
    <t>帧头</t>
  </si>
  <si>
    <t>5A A5</t>
  </si>
  <si>
    <t>6A A6</t>
  </si>
  <si>
    <t>接收流按两个帧头自动同步</t>
  </si>
  <si>
    <t>CRC 算法</t>
  </si>
  <si>
    <t>CRC16-Modbus</t>
  </si>
  <si>
    <t>初值 FFFF；多项式 A001</t>
  </si>
  <si>
    <t>App/Src/screen_protocol.c:56-68</t>
  </si>
  <si>
    <t>总长度</t>
  </si>
  <si>
    <t>13 (0x0D)</t>
  </si>
  <si>
    <t>11 (0x0B)</t>
  </si>
  <si>
    <t>长度字节必须等于固定长度</t>
  </si>
  <si>
    <t>串口</t>
  </si>
  <si>
    <t>USART2 115200 8N1</t>
  </si>
  <si>
    <t>屏幕与调参协议共用</t>
  </si>
  <si>
    <t>Core/Src/usart.c:101-110</t>
  </si>
  <si>
    <t>数据</t>
  </si>
  <si>
    <t>float32 / uint32，4 字节</t>
  </si>
  <si>
    <t>uint16，2 字节</t>
  </si>
  <si>
    <t>STM32 本机小端</t>
  </si>
  <si>
    <t>帧尾</t>
  </si>
  <si>
    <t>FF FF</t>
  </si>
  <si>
    <t>两个固定字节</t>
  </si>
  <si>
    <t>App/Src/screen_protocol.c:272-320</t>
  </si>
  <si>
    <t>13 字节工作帧（5A A5）</t>
  </si>
  <si>
    <t>偏移</t>
  </si>
  <si>
    <t>长度</t>
  </si>
  <si>
    <t>字段</t>
  </si>
  <si>
    <t>字节序</t>
  </si>
  <si>
    <t>固定值/格式</t>
  </si>
  <si>
    <t>CRC 覆盖</t>
  </si>
  <si>
    <t>示例</t>
  </si>
  <si>
    <t>帧头0</t>
  </si>
  <si>
    <t>-</t>
  </si>
  <si>
    <t>0x5A</t>
  </si>
  <si>
    <t>工作帧标识</t>
  </si>
  <si>
    <t>5A</t>
  </si>
  <si>
    <t>帧头1</t>
  </si>
  <si>
    <t>0xA5</t>
  </si>
  <si>
    <t>A5</t>
  </si>
  <si>
    <t>帧长</t>
  </si>
  <si>
    <t>0x0D</t>
  </si>
  <si>
    <t>固定 13 字节</t>
  </si>
  <si>
    <t>0D</t>
  </si>
  <si>
    <t>命令高字节</t>
  </si>
  <si>
    <t>大端命令</t>
  </si>
  <si>
    <t>cmd[15:8]</t>
  </si>
  <si>
    <t>命令 ID 高位</t>
  </si>
  <si>
    <t>命令低字节</t>
  </si>
  <si>
    <t>cmd[7:0]</t>
  </si>
  <si>
    <t>命令 ID 低位</t>
  </si>
  <si>
    <t>5～8</t>
  </si>
  <si>
    <t>负载</t>
  </si>
  <si>
    <t>小端</t>
  </si>
  <si>
    <t>float32 或 uint32</t>
  </si>
  <si>
    <t>0x2071 使用 uint32 故障码</t>
  </si>
  <si>
    <t>0x0402 → 02 04 00 00</t>
  </si>
  <si>
    <t>9～10</t>
  </si>
  <si>
    <t>CRC16</t>
  </si>
  <si>
    <t>CRC Lo / CRC Hi</t>
  </si>
  <si>
    <t>覆盖偏移 0～8</t>
  </si>
  <si>
    <t>低字节在前</t>
  </si>
  <si>
    <t>11～12</t>
  </si>
  <si>
    <t>固定帧尾</t>
  </si>
  <si>
    <t>11 字节设置帧（6A A6）</t>
  </si>
  <si>
    <t>0x6A</t>
  </si>
  <si>
    <t>设置帧标识</t>
  </si>
  <si>
    <t>6A</t>
  </si>
  <si>
    <t>0xA6</t>
  </si>
  <si>
    <t>A6</t>
  </si>
  <si>
    <t>0x0B</t>
  </si>
  <si>
    <t>固定 11 字节</t>
  </si>
  <si>
    <t>0B</t>
  </si>
  <si>
    <t>5～6</t>
  </si>
  <si>
    <t>uint16</t>
  </si>
  <si>
    <t>数值低字节在前</t>
  </si>
  <si>
    <t>1 → 01 00</t>
  </si>
  <si>
    <t>7～8</t>
  </si>
  <si>
    <t>覆盖偏移 0～6</t>
  </si>
  <si>
    <t>注意：工作帧和设置帧允许出现相同命令号但语义不同，例如 0x1040 在工作帧表示“加热开始”，在设置帧表示“写预设压力”。解析时必须同时看帧头/帧长。</t>
  </si>
  <si>
    <t>屏幕协议命令表</t>
  </si>
  <si>
    <t>同一 USART2 上，屏幕帧由帧头 5A A5 / 6A A6 区分。RX 表示主板接收，TX 表示主板发送。</t>
  </si>
  <si>
    <t>方向</t>
  </si>
  <si>
    <t>命令</t>
  </si>
  <si>
    <t>帧类型</t>
  </si>
  <si>
    <t>数值/范围</t>
  </si>
  <si>
    <t>当前行为</t>
  </si>
  <si>
    <t>关联应答/存储</t>
  </si>
  <si>
    <t>屏幕→主板</t>
  </si>
  <si>
    <t>0x8900</t>
  </si>
  <si>
    <t>float32（忽略）</t>
  </si>
  <si>
    <t>自然结束，安全停机、计数一次并回零</t>
  </si>
  <si>
    <t>治疗计数 0x00/02/04</t>
  </si>
  <si>
    <t>screen_protocol.c:99-102</t>
  </si>
  <si>
    <t>0x1041</t>
  </si>
  <si>
    <t>准备纯加热模式</t>
  </si>
  <si>
    <t>screen_protocol.c:102-105</t>
  </si>
  <si>
    <t>0x1005</t>
  </si>
  <si>
    <t>float32</t>
  </si>
  <si>
    <t>目标压力</t>
  </si>
  <si>
    <t>准备纯压力模式</t>
  </si>
  <si>
    <t>screen_protocol.c:105-108</t>
  </si>
  <si>
    <t>0x1037</t>
  </si>
  <si>
    <t>准备自动模式</t>
  </si>
  <si>
    <t>screen_protocol.c:108-111</t>
  </si>
  <si>
    <t>0x1040</t>
  </si>
  <si>
    <t>加热模式开始</t>
  </si>
  <si>
    <t>TX 0x2052</t>
  </si>
  <si>
    <t>screen_protocol.c:111-116</t>
  </si>
  <si>
    <t>0x1006</t>
  </si>
  <si>
    <t>压力模式开始</t>
  </si>
  <si>
    <t>0x1036</t>
  </si>
  <si>
    <t>自动模式开始</t>
  </si>
  <si>
    <t>0x1030</t>
  </si>
  <si>
    <t>用户停止</t>
  </si>
  <si>
    <t>TX 0x2056、0x2051</t>
  </si>
  <si>
    <t>screen_protocol.c:116-121</t>
  </si>
  <si>
    <t>0x1034</t>
  </si>
  <si>
    <t>0x1038</t>
  </si>
  <si>
    <t>0x1050</t>
  </si>
  <si>
    <t>屏幕开机完成；同步版本、声音、计数和当前预设</t>
  </si>
  <si>
    <t>00AD/2060/00AB/00A0～00A7/00AC</t>
  </si>
  <si>
    <t>screen_protocol.c:121-128</t>
  </si>
  <si>
    <t>0x1051</t>
  </si>
  <si>
    <t>兼容保留，当前无动作</t>
  </si>
  <si>
    <t>screen_protocol.c:128-131</t>
  </si>
  <si>
    <t>0x1052</t>
  </si>
  <si>
    <t>0x1053</t>
  </si>
  <si>
    <t>&gt;0</t>
  </si>
  <si>
    <t>设置治疗温度 RAM</t>
  </si>
  <si>
    <t>不直接写 EEPROM</t>
  </si>
  <si>
    <t>screen_protocol.c:131-134</t>
  </si>
  <si>
    <t>0x1054</t>
  </si>
  <si>
    <t>设置目标压力 RAM</t>
  </si>
  <si>
    <t>screen_protocol.c:134-137</t>
  </si>
  <si>
    <t>0x1056</t>
  </si>
  <si>
    <t>查询眼盾更换次数</t>
  </si>
  <si>
    <t>TX 0x00B0；读 0xF2</t>
  </si>
  <si>
    <t>screen_protocol.c:137-140</t>
  </si>
  <si>
    <t>0x1042</t>
  </si>
  <si>
    <t>0～3</t>
  </si>
  <si>
    <t>选择待编辑预设并回传参数</t>
  </si>
  <si>
    <t>TX 00A8/00A9/00AA</t>
  </si>
  <si>
    <t>screen_protocol.c:146-152</t>
  </si>
  <si>
    <t>0x1044</t>
  </si>
  <si>
    <t>选择当前预设并下发参数；0 使用固定 42°C/150mmHg/1min</t>
  </si>
  <si>
    <t>写 0xFC；TX 00A4/00A5/00A6</t>
  </si>
  <si>
    <t>screen_protocol.c:152-158</t>
  </si>
  <si>
    <t>0x1039</t>
  </si>
  <si>
    <t>编辑预设 1～3 时有效</t>
  </si>
  <si>
    <t>写待编辑预设温度</t>
  </si>
  <si>
    <t>0x08/0x10/0x18</t>
  </si>
  <si>
    <t>screen_protocol.c:158-163</t>
  </si>
  <si>
    <t>写待编辑预设压力</t>
  </si>
  <si>
    <t>0x0A/0x12/0x1A</t>
  </si>
  <si>
    <t>screen_protocol.c:163-168</t>
  </si>
  <si>
    <t>设置当前运行时间 RAM，并写待编辑预设时间</t>
  </si>
  <si>
    <t>0x0C/0x14/0x1C</t>
  </si>
  <si>
    <t>screen_protocol.c:168-175</t>
  </si>
  <si>
    <t>0x1043</t>
  </si>
  <si>
    <t>未限制</t>
  </si>
  <si>
    <t>写旧版按键音/蜂鸣设置</t>
  </si>
  <si>
    <t>0xF8；开机 TX 0x00A7</t>
  </si>
  <si>
    <t>screen_protocol.c:175-178</t>
  </si>
  <si>
    <t>0x1046</t>
  </si>
  <si>
    <t>uint16（忽略）</t>
  </si>
  <si>
    <t>擦除主板 EEPROM 全部 256 字节</t>
  </si>
  <si>
    <t>全部填 FF</t>
  </si>
  <si>
    <t>screen_protocol.c:178-181</t>
  </si>
  <si>
    <t>0x1047</t>
  </si>
  <si>
    <t>擦除眼盾 EEPROM 全部 256 字节</t>
  </si>
  <si>
    <t>screen_protocol.c:181-184</t>
  </si>
  <si>
    <t>0x1060</t>
  </si>
  <si>
    <t>0/1</t>
  </si>
  <si>
    <t>设置声音开关并立即回读</t>
  </si>
  <si>
    <t>0x06；TX 0x00AB</t>
  </si>
  <si>
    <t>screen_protocol.c:184-190</t>
  </si>
  <si>
    <t>主板→屏幕</t>
  </si>
  <si>
    <t>0x2041</t>
  </si>
  <si>
    <t>°C</t>
  </si>
  <si>
    <t>纯加热模式显示温度（减去产品补偿）</t>
  </si>
  <si>
    <t>app_controller.c:658-662</t>
  </si>
  <si>
    <t>0x2037</t>
  </si>
  <si>
    <t>自动模式显示温度（减去产品补偿）</t>
  </si>
  <si>
    <t>0x2005</t>
  </si>
  <si>
    <t>mmHg</t>
  </si>
  <si>
    <t>纯压力模式显示压力</t>
  </si>
  <si>
    <t>app_controller.c:699-701</t>
  </si>
  <si>
    <t>0x2047</t>
  </si>
  <si>
    <t>自动模式显示压力</t>
  </si>
  <si>
    <t>0x2050</t>
  </si>
  <si>
    <t>SOC %</t>
  </si>
  <si>
    <t>电池电量</t>
  </si>
  <si>
    <t>app_controller.c:451</t>
  </si>
  <si>
    <t>0x2051</t>
  </si>
  <si>
    <t>float32=0</t>
  </si>
  <si>
    <t>退出工作界面</t>
  </si>
  <si>
    <t>app_controller.c:330-333</t>
  </si>
  <si>
    <t>0x2052</t>
  </si>
  <si>
    <t>开始屏幕计时器</t>
  </si>
  <si>
    <t>app_controller.c:307-309</t>
  </si>
  <si>
    <t>0x2055</t>
  </si>
  <si>
    <t>float32 0/1</t>
  </si>
  <si>
    <t>0离线/1在线</t>
  </si>
  <si>
    <t>眼盾在线状态，轮询刷新</t>
  </si>
  <si>
    <t>app_controller.c:382-390</t>
  </si>
  <si>
    <t>0x2056</t>
  </si>
  <si>
    <t>停止屏幕计时器</t>
  </si>
  <si>
    <t>0x2057</t>
  </si>
  <si>
    <t>检测到新眼盾的插入事件</t>
  </si>
  <si>
    <t>app_controller.c:388-390</t>
  </si>
  <si>
    <t>0x20F0</t>
  </si>
  <si>
    <t>0失败/1成功</t>
  </si>
  <si>
    <t>回零完成状态</t>
  </si>
  <si>
    <t>app_controller.c:560-584</t>
  </si>
  <si>
    <t>0x2071</t>
  </si>
  <si>
    <t>uint32</t>
  </si>
  <si>
    <t>AppFault；0 清除</t>
  </si>
  <si>
    <t>故障状态：故障发生立即发，电池轮询时持续刷新</t>
  </si>
  <si>
    <t>例如 0x0402 负载 02 04 00 00</t>
  </si>
  <si>
    <t>app_controller.c:451-455; board_port.c:68-75</t>
  </si>
  <si>
    <t>0x2060</t>
  </si>
  <si>
    <t>固件版本号</t>
  </si>
  <si>
    <t>响应 0x1050</t>
  </si>
  <si>
    <t>screen_protocol.c:121-126</t>
  </si>
  <si>
    <t>0x00A0</t>
  </si>
  <si>
    <t>次数</t>
  </si>
  <si>
    <t>纯加热自然完成次数</t>
  </si>
  <si>
    <t>读 0x00</t>
  </si>
  <si>
    <t>storage_driver.c:281</t>
  </si>
  <si>
    <t>0x00A1</t>
  </si>
  <si>
    <t>纯压力自然完成次数</t>
  </si>
  <si>
    <t>读 0x02</t>
  </si>
  <si>
    <t>storage_driver.c:282</t>
  </si>
  <si>
    <t>0x00A2</t>
  </si>
  <si>
    <t>自动自然完成次数</t>
  </si>
  <si>
    <t>读 0x04</t>
  </si>
  <si>
    <t>storage_driver.c:283</t>
  </si>
  <si>
    <t>0x00A3</t>
  </si>
  <si>
    <t>1～3</t>
  </si>
  <si>
    <t>当前选择预设</t>
  </si>
  <si>
    <t>读 0xFC；非法值回退为1</t>
  </si>
  <si>
    <t>storage_driver.c:284</t>
  </si>
  <si>
    <t>0x00A4</t>
  </si>
  <si>
    <t>当前预设压力</t>
  </si>
  <si>
    <t>读预设区</t>
  </si>
  <si>
    <t>storage_driver.c:286</t>
  </si>
  <si>
    <t>0x00A5</t>
  </si>
  <si>
    <t>°C整数</t>
  </si>
  <si>
    <t>当前预设温度</t>
  </si>
  <si>
    <t>storage_driver.c:287</t>
  </si>
  <si>
    <t>0x00A6</t>
  </si>
  <si>
    <t>分钟</t>
  </si>
  <si>
    <t>当前预设时间</t>
  </si>
  <si>
    <t>storage_driver.c:288</t>
  </si>
  <si>
    <t>0x00A7</t>
  </si>
  <si>
    <t>旧设置值</t>
  </si>
  <si>
    <t>旧版按键音/蜂鸣设置</t>
  </si>
  <si>
    <t>读 0xF8</t>
  </si>
  <si>
    <t>storage_driver.c:289</t>
  </si>
  <si>
    <t>0x00A8</t>
  </si>
  <si>
    <t>待编辑预设温度</t>
  </si>
  <si>
    <t>响应 0x1042</t>
  </si>
  <si>
    <t>screen_protocol.c:47-53</t>
  </si>
  <si>
    <t>0x00A9</t>
  </si>
  <si>
    <t>待编辑预设压力</t>
  </si>
  <si>
    <t>0x00AA</t>
  </si>
  <si>
    <t>待编辑预设时间</t>
  </si>
  <si>
    <t>screen_protocol.c:53</t>
  </si>
  <si>
    <t>0x00AB</t>
  </si>
  <si>
    <t>声音开关</t>
  </si>
  <si>
    <t>读 0x06</t>
  </si>
  <si>
    <t>screen_protocol.c:121,186</t>
  </si>
  <si>
    <t>0x00AC</t>
  </si>
  <si>
    <t>uint16=1</t>
  </si>
  <si>
    <t>屏幕开机同步固定标志</t>
  </si>
  <si>
    <t>storage_driver.c:285</t>
  </si>
  <si>
    <t>0x00AD</t>
  </si>
  <si>
    <t>屏幕开机确认</t>
  </si>
  <si>
    <t>screen_protocol.c:118</t>
  </si>
  <si>
    <t>0x00B0</t>
  </si>
  <si>
    <t>眼盾更换次数</t>
  </si>
  <si>
    <t>读 0xF2；响应 0x1056</t>
  </si>
  <si>
    <t>screen_protocol.c:133</t>
  </si>
  <si>
    <t>压力/温控调参协议（当前版本 8）</t>
  </si>
  <si>
    <t>帧：7A A7 | Version | Command | Sequence | PayloadLength | Payload | CRC16-LE | 0D 0A。固定开销 10 字节，负载最大 64 字节。</t>
  </si>
  <si>
    <t>固定值/范围</t>
  </si>
  <si>
    <t>CRC覆盖</t>
  </si>
  <si>
    <t>0～1</t>
  </si>
  <si>
    <t>7A A7</t>
  </si>
  <si>
    <t>调参协议标识</t>
  </si>
  <si>
    <t>tuning_protocol.c:16-23</t>
  </si>
  <si>
    <t>协议版本</t>
  </si>
  <si>
    <t>非版本8直接丢弃并继续找帧头</t>
  </si>
  <si>
    <t>tuning_protocol.c:18,600-603</t>
  </si>
  <si>
    <t>uint8</t>
  </si>
  <si>
    <t>请求或响应命令</t>
  </si>
  <si>
    <t>tuning_protocol.c:25-49</t>
  </si>
  <si>
    <t>序号</t>
  </si>
  <si>
    <t>0～255</t>
  </si>
  <si>
    <t>应答复用请求序号；主动遥测自增</t>
  </si>
  <si>
    <t>tuning_protocol.c:124-148</t>
  </si>
  <si>
    <t>负载长度</t>
  </si>
  <si>
    <t>0～64</t>
  </si>
  <si>
    <t>总帧长=10+负载长度</t>
  </si>
  <si>
    <t>tuning_protocol.c:21-23,605</t>
  </si>
  <si>
    <t>6～</t>
  </si>
  <si>
    <t>N</t>
  </si>
  <si>
    <t>N 字节</t>
  </si>
  <si>
    <t>uint16/uint32/float32 均低字节在前</t>
  </si>
  <si>
    <t>tuning_protocol.c:93-122</t>
  </si>
  <si>
    <t>6+N～7+N</t>
  </si>
  <si>
    <t>CRC Lo/Hi</t>
  </si>
  <si>
    <t>覆盖帧头至负载末尾</t>
  </si>
  <si>
    <t>tuning_protocol.c:79-90,143-147</t>
  </si>
  <si>
    <t>8+N～9+N</t>
  </si>
  <si>
    <t>0D 0A</t>
  </si>
  <si>
    <t>tuning_protocol.c:146-148</t>
  </si>
  <si>
    <t>命令表</t>
  </si>
  <si>
    <t>名称</t>
  </si>
  <si>
    <t>负载/范围</t>
  </si>
  <si>
    <t>成功响应</t>
  </si>
  <si>
    <t>行为与限制</t>
  </si>
  <si>
    <t>上位机→主板</t>
  </si>
  <si>
    <t>0x01</t>
  </si>
  <si>
    <t>HELLO</t>
  </si>
  <si>
    <t>0x81 INFO</t>
  </si>
  <si>
    <t>返回固件版本、协议版本8、档位数5</t>
  </si>
  <si>
    <t>tuning_protocol.c:351-357</t>
  </si>
  <si>
    <t>0x10</t>
  </si>
  <si>
    <t>GET_ALL</t>
  </si>
  <si>
    <t>5×0x90 + 0x92</t>
  </si>
  <si>
    <t>依次返回五档压力参数和温控 PID</t>
  </si>
  <si>
    <t>tuning_protocol.c:359-368</t>
  </si>
  <si>
    <t>0x11</t>
  </si>
  <si>
    <t>GET_PROFILE</t>
  </si>
  <si>
    <t>档位索引 0～4</t>
  </si>
  <si>
    <t>0x90</t>
  </si>
  <si>
    <t>读取单档 RAM 参数</t>
  </si>
  <si>
    <t>tuning_protocol.c:369-375</t>
  </si>
  <si>
    <t>0x12</t>
  </si>
  <si>
    <t>SET_PROFILE</t>
  </si>
  <si>
    <t>索引1B + 10×float32</t>
  </si>
  <si>
    <t>0x91 ACK</t>
  </si>
  <si>
    <t>整档写 RAM；校验所有字段范围</t>
  </si>
  <si>
    <t>tuning_protocol.c:376-393</t>
  </si>
  <si>
    <t>0x13</t>
  </si>
  <si>
    <t>SAVE</t>
  </si>
  <si>
    <t>仅 IDLE 允许；将完整五档保存 EEPROM 并回读校验</t>
  </si>
  <si>
    <t>tuning_protocol.c:406-415</t>
  </si>
  <si>
    <t>0x14</t>
  </si>
  <si>
    <t>DEFAULTS</t>
  </si>
  <si>
    <t>仅 IDLE 允许；RAM 恢复编译默认值，不自动保存</t>
  </si>
  <si>
    <t>tuning_protocol.c:416-425</t>
  </si>
  <si>
    <t>0x15</t>
  </si>
  <si>
    <t>SET_FIELD</t>
  </si>
  <si>
    <t>档位1B+字段1B+float32</t>
  </si>
  <si>
    <t>单字段写 RAM，立即影响后续控制</t>
  </si>
  <si>
    <t>tuning_protocol.c:394-405</t>
  </si>
  <si>
    <t>0x20</t>
  </si>
  <si>
    <t>SET_TARGET</t>
  </si>
  <si>
    <t>float32，1～650 mmHg</t>
  </si>
  <si>
    <t>tuning_protocol.c:426-439</t>
  </si>
  <si>
    <t>0x21</t>
  </si>
  <si>
    <t>PREPARE</t>
  </si>
  <si>
    <t>准备纯压力；检查空闲/充电/故障/回零/眼盾/零点</t>
  </si>
  <si>
    <t>tuning_protocol.c:440-457</t>
  </si>
  <si>
    <t>0x22</t>
  </si>
  <si>
    <t>START</t>
  </si>
  <si>
    <t>启动已准备治疗</t>
  </si>
  <si>
    <t>tuning_protocol.c:458-465</t>
  </si>
  <si>
    <t>0x23</t>
  </si>
  <si>
    <t>STOP</t>
  </si>
  <si>
    <t>用户停止并回零</t>
  </si>
  <si>
    <t>tuning_protocol.c:466-473</t>
  </si>
  <si>
    <t>0x24</t>
  </si>
  <si>
    <t>TELEMETRY_CONTROL</t>
  </si>
  <si>
    <t>uint16：0 或 50～2000 ms</t>
  </si>
  <si>
    <t>0 关闭周期遥测；其他值设置周期</t>
  </si>
  <si>
    <t>tuning_protocol.c:474-488</t>
  </si>
  <si>
    <t>0x25</t>
  </si>
  <si>
    <t>GET_STATUS</t>
  </si>
  <si>
    <t>0xA0</t>
  </si>
  <si>
    <t>读取一次 61 字节遥测</t>
  </si>
  <si>
    <t>tuning_protocol.c:489-495</t>
  </si>
  <si>
    <t>0x26</t>
  </si>
  <si>
    <t>GET_HEAT_PID</t>
  </si>
  <si>
    <t>0x92</t>
  </si>
  <si>
    <t>读取温控 Kp/Ki/Kd RAM</t>
  </si>
  <si>
    <t>tuning_protocol.c:496-502</t>
  </si>
  <si>
    <t>0x27</t>
  </si>
  <si>
    <t>SET_HEAT_PID</t>
  </si>
  <si>
    <t>3×float32</t>
  </si>
  <si>
    <t>设置温控 Kp/Ki/Kd RAM</t>
  </si>
  <si>
    <t>tuning_protocol.c:503-513</t>
  </si>
  <si>
    <t>0x28</t>
  </si>
  <si>
    <t>SET_TEMPERATURE</t>
  </si>
  <si>
    <t>float32：20.0≤T&lt;44.0°C</t>
  </si>
  <si>
    <t>设置目标温度 RAM</t>
  </si>
  <si>
    <t>tuning_protocol.c:514-527</t>
  </si>
  <si>
    <t>0x29</t>
  </si>
  <si>
    <t>PREPARE_HEAT</t>
  </si>
  <si>
    <t>准备纯加热；不要求压力零点有效</t>
  </si>
  <si>
    <t>tuning_protocol.c:528-539</t>
  </si>
  <si>
    <t>0x30</t>
  </si>
  <si>
    <t>DEBUG_CONTROL</t>
  </si>
  <si>
    <t>RAM 调试模式；15秒无调参命令自动退出</t>
  </si>
  <si>
    <t>tuning_protocol.c:540-548,627-631</t>
  </si>
  <si>
    <t>主板→上位机</t>
  </si>
  <si>
    <t>0x81</t>
  </si>
  <si>
    <t>INFO</t>
  </si>
  <si>
    <t>固件uint32+版本uint8+档位数uint8</t>
  </si>
  <si>
    <t>HELLO 响应</t>
  </si>
  <si>
    <t>PROFILE</t>
  </si>
  <si>
    <t>索引1B+10×float32</t>
  </si>
  <si>
    <t>单档压力参数</t>
  </si>
  <si>
    <t>tuning_protocol.c:157-205</t>
  </si>
  <si>
    <t>0x91</t>
  </si>
  <si>
    <t>ACK</t>
  </si>
  <si>
    <t>原请求命令1B+状态1B</t>
  </si>
  <si>
    <t>先执行后应答；无 ACK 不等于一定未执行</t>
  </si>
  <si>
    <t>tuning_protocol.c:151-155</t>
  </si>
  <si>
    <t>HEAT_PID</t>
  </si>
  <si>
    <t>Kp/Ki/Kd float32</t>
  </si>
  <si>
    <t>温控 PID RAM</t>
  </si>
  <si>
    <t>tuning_protocol.c:207-219</t>
  </si>
  <si>
    <t>TELEMETRY</t>
  </si>
  <si>
    <t>详见“遥测枚举”</t>
  </si>
  <si>
    <t>周期或单次状态遥测</t>
  </si>
  <si>
    <t>tuning_protocol.c:221-276</t>
  </si>
  <si>
    <t>0xA1</t>
  </si>
  <si>
    <t>HOME_EVENT</t>
  </si>
  <si>
    <t>从 HOMING 离开时主动发送</t>
  </si>
  <si>
    <t>tuning_protocol.c:297-308,633-643</t>
  </si>
  <si>
    <t>ACK 状态码</t>
  </si>
  <si>
    <t>典型原因</t>
  </si>
  <si>
    <t>状态2</t>
  </si>
  <si>
    <t>符号3</t>
  </si>
  <si>
    <t>含义4</t>
  </si>
  <si>
    <t>典型原因5</t>
  </si>
  <si>
    <t>STATUS_OK</t>
  </si>
  <si>
    <t>成功</t>
  </si>
  <si>
    <t>STATUS_CHARGING</t>
  </si>
  <si>
    <t>充电联锁</t>
  </si>
  <si>
    <t>充电中且非调试模式</t>
  </si>
  <si>
    <t>STATUS_BAD_PAYLOAD</t>
  </si>
  <si>
    <t>负载格式错误</t>
  </si>
  <si>
    <t>长度错误/未知命令</t>
  </si>
  <si>
    <t>STATUS_FAULT_ACTIVE</t>
  </si>
  <si>
    <t>存在故障</t>
  </si>
  <si>
    <t>AppFault 非0</t>
  </si>
  <si>
    <t>STATUS_OUT_OF_RANGE</t>
  </si>
  <si>
    <t>越界</t>
  </si>
  <si>
    <t>档位/字段/数值超范围</t>
  </si>
  <si>
    <t>STATUS_HOME_INVALID</t>
  </si>
  <si>
    <t>回零无效</t>
  </si>
  <si>
    <t>home_valid=false</t>
  </si>
  <si>
    <t>STATUS_REJECTED</t>
  </si>
  <si>
    <t>执行被拒绝</t>
  </si>
  <si>
    <t>状态不允许或控制器拒绝</t>
  </si>
  <si>
    <t>STATUS_EYE_INVALID</t>
  </si>
  <si>
    <t>眼盾无效</t>
  </si>
  <si>
    <t>非 NEW/IN_USE/SERVICE</t>
  </si>
  <si>
    <t>STATUS_SAVE_FAILED</t>
  </si>
  <si>
    <t>保存失败</t>
  </si>
  <si>
    <t>EEPROM 写入或回读比较失败</t>
  </si>
  <si>
    <t>STATUS_ZERO_INVALID</t>
  </si>
  <si>
    <t>压力零点无效</t>
  </si>
  <si>
    <t>压力模式要求零点有效</t>
  </si>
  <si>
    <t>STATUS_NOT_IDLE</t>
  </si>
  <si>
    <t>非待机</t>
  </si>
  <si>
    <t>不在 IDLE 且不满足快速恢复</t>
  </si>
  <si>
    <t>调参遥测负载与枚举码表</t>
  </si>
  <si>
    <t>所有多字节负载为小端；float32 采用 STM32 IEEE-754 单精度。A0 当前负载固定 61 字节。</t>
  </si>
  <si>
    <t>类型</t>
  </si>
  <si>
    <t>单位/取值</t>
  </si>
  <si>
    <t>关联枚举</t>
  </si>
  <si>
    <t>有效性</t>
  </si>
  <si>
    <t>tick_ms</t>
  </si>
  <si>
    <t>ms</t>
  </si>
  <si>
    <t>HAL_GetTick()</t>
  </si>
  <si>
    <t>始终</t>
  </si>
  <si>
    <t>tuning_protocol.c:249</t>
  </si>
  <si>
    <t>4～7</t>
  </si>
  <si>
    <t>target_pressure</t>
  </si>
  <si>
    <t>当前目标压力</t>
  </si>
  <si>
    <t>tuning_protocol.c:250</t>
  </si>
  <si>
    <t>8～11</t>
  </si>
  <si>
    <t>measured_pressure</t>
  </si>
  <si>
    <t>实测压力</t>
  </si>
  <si>
    <t>零点/ADC有效时</t>
  </si>
  <si>
    <t>tuning_protocol.c:251</t>
  </si>
  <si>
    <t>12～15</t>
  </si>
  <si>
    <t>int32</t>
  </si>
  <si>
    <t>pressure_raw</t>
  </si>
  <si>
    <t>ADC raw</t>
  </si>
  <si>
    <t>当前 ADS1220 原始值</t>
  </si>
  <si>
    <t>采样有效时</t>
  </si>
  <si>
    <t>tuning_protocol.c:252</t>
  </si>
  <si>
    <t>16～19</t>
  </si>
  <si>
    <t>pressure_zero_raw</t>
  </si>
  <si>
    <t>零点原始值</t>
  </si>
  <si>
    <t>零点有效时</t>
  </si>
  <si>
    <t>tuning_protocol.c:253</t>
  </si>
  <si>
    <t>pressure_stage</t>
  </si>
  <si>
    <t>0xFF或控制阶段</t>
  </si>
  <si>
    <t>压力控制阶段</t>
  </si>
  <si>
    <t>硬件内部阶段</t>
  </si>
  <si>
    <t>活动时</t>
  </si>
  <si>
    <t>tuning_protocol.c:254</t>
  </si>
  <si>
    <t>pressure_active</t>
  </si>
  <si>
    <t>压力控制是否活动</t>
  </si>
  <si>
    <t>tuning_protocol.c:255</t>
  </si>
  <si>
    <t>app_state</t>
  </si>
  <si>
    <t>0～8</t>
  </si>
  <si>
    <t>应用状态</t>
  </si>
  <si>
    <t>AppState</t>
  </si>
  <si>
    <t>tuning_protocol.c:256</t>
  </si>
  <si>
    <t>23～24</t>
  </si>
  <si>
    <t>fault</t>
  </si>
  <si>
    <t>AppFault</t>
  </si>
  <si>
    <t>当前故障码</t>
  </si>
  <si>
    <t>故障码表</t>
  </si>
  <si>
    <t>tuning_protocol.c:257</t>
  </si>
  <si>
    <t>charging</t>
  </si>
  <si>
    <t>外部电源/充电有效</t>
  </si>
  <si>
    <t>tuning_protocol.c:258</t>
  </si>
  <si>
    <t>pressure_zero_valid</t>
  </si>
  <si>
    <t>压力零点是否有效</t>
  </si>
  <si>
    <t>tuning_protocol.c:259</t>
  </si>
  <si>
    <t>eye_state</t>
  </si>
  <si>
    <t>0～4</t>
  </si>
  <si>
    <t>眼盾状态</t>
  </si>
  <si>
    <t>AppEyeState</t>
  </si>
  <si>
    <t>tuning_protocol.c:260</t>
  </si>
  <si>
    <t>home_valid</t>
  </si>
  <si>
    <t>回零是否有效</t>
  </si>
  <si>
    <t>tuning_protocol.c:261</t>
  </si>
  <si>
    <t>stop_reason</t>
  </si>
  <si>
    <t>0～7</t>
  </si>
  <si>
    <t>最近停止原因</t>
  </si>
  <si>
    <t>AppStopReason</t>
  </si>
  <si>
    <t>tuning_protocol.c:262</t>
  </si>
  <si>
    <t>charge_full</t>
  </si>
  <si>
    <t>充电完成</t>
  </si>
  <si>
    <t>tuning_protocol.c:263</t>
  </si>
  <si>
    <t>debug_mode</t>
  </si>
  <si>
    <t>调试模式</t>
  </si>
  <si>
    <t>tuning_protocol.c:264</t>
  </si>
  <si>
    <t>32～33</t>
  </si>
  <si>
    <t>battery_soc</t>
  </si>
  <si>
    <t>%</t>
  </si>
  <si>
    <t>电池 SOC</t>
  </si>
  <si>
    <t>电量计有效时</t>
  </si>
  <si>
    <t>tuning_protocol.c:265</t>
  </si>
  <si>
    <t>34～35</t>
  </si>
  <si>
    <t>battery_mv</t>
  </si>
  <si>
    <t>mV</t>
  </si>
  <si>
    <t>电池电压</t>
  </si>
  <si>
    <t>tuning_protocol.c:266</t>
  </si>
  <si>
    <t>36～39</t>
  </si>
  <si>
    <t>control_target_temp</t>
  </si>
  <si>
    <t>预热阶段为40°C，否则为治疗设定温度</t>
  </si>
  <si>
    <t>tuning_protocol.c:267-268</t>
  </si>
  <si>
    <t>40～43</t>
  </si>
  <si>
    <t>measured_temp</t>
  </si>
  <si>
    <t>实测温度；无效时写0</t>
  </si>
  <si>
    <t>看偏移44</t>
  </si>
  <si>
    <t>tuning_protocol.c:269</t>
  </si>
  <si>
    <t>temperature_valid</t>
  </si>
  <si>
    <t>实测温度有效标志</t>
  </si>
  <si>
    <t>tuning_protocol.c:270</t>
  </si>
  <si>
    <t>45～48</t>
  </si>
  <si>
    <t>heat_power_percent</t>
  </si>
  <si>
    <t>加热输出百分比</t>
  </si>
  <si>
    <t>温控运行时</t>
  </si>
  <si>
    <t>tuning_protocol.c:271</t>
  </si>
  <si>
    <t>49～52</t>
  </si>
  <si>
    <t>heat_integral_output</t>
  </si>
  <si>
    <t>PWM量</t>
  </si>
  <si>
    <t>温控积分输出</t>
  </si>
  <si>
    <t>tuning_protocol.c:272</t>
  </si>
  <si>
    <t>53～56</t>
  </si>
  <si>
    <t>speed_command</t>
  </si>
  <si>
    <t>电机速度指令</t>
  </si>
  <si>
    <t>压力控制速度指令</t>
  </si>
  <si>
    <t>压力活动时</t>
  </si>
  <si>
    <t>tuning_protocol.c:273</t>
  </si>
  <si>
    <t>57～60</t>
  </si>
  <si>
    <t>pressure_error</t>
  </si>
  <si>
    <t>目标与实测压力误差</t>
  </si>
  <si>
    <t>tuning_protocol.c:274</t>
  </si>
  <si>
    <t>A1 HOME_EVENT（9字节）</t>
  </si>
  <si>
    <t>事件时间</t>
  </si>
  <si>
    <t>tuning_protocol.c:302</t>
  </si>
  <si>
    <t>success</t>
  </si>
  <si>
    <t>回零是否成功</t>
  </si>
  <si>
    <t>tuning_protocol.c:303</t>
  </si>
  <si>
    <t>触发本次回零的停止原因</t>
  </si>
  <si>
    <t>tuning_protocol.c:304</t>
  </si>
  <si>
    <t>6～7</t>
  </si>
  <si>
    <t>回零结束时故障码</t>
  </si>
  <si>
    <t>tuning_protocol.c:305</t>
  </si>
  <si>
    <t>回零后压力零点有效性</t>
  </si>
  <si>
    <t>tuning_protocol.c:306</t>
  </si>
  <si>
    <t>应用枚举</t>
  </si>
  <si>
    <t>枚举</t>
  </si>
  <si>
    <t>枚举2</t>
  </si>
  <si>
    <t>符号4</t>
  </si>
  <si>
    <t>含义5</t>
  </si>
  <si>
    <t>AppMode</t>
  </si>
  <si>
    <t>APP_MODE_NONE</t>
  </si>
  <si>
    <t>无模式</t>
  </si>
  <si>
    <t>APP_EYE_ABSENT</t>
  </si>
  <si>
    <t>眼盾不存在</t>
  </si>
  <si>
    <t>APP_MODE_HEAT</t>
  </si>
  <si>
    <t>纯加热</t>
  </si>
  <si>
    <t>APP_EYE_NEW</t>
  </si>
  <si>
    <t>新眼盾</t>
  </si>
  <si>
    <t>APP_MODE_PRESSURE</t>
  </si>
  <si>
    <t>纯压力</t>
  </si>
  <si>
    <t>APP_EYE_IN_USE</t>
  </si>
  <si>
    <t>本次连续插入中已使用</t>
  </si>
  <si>
    <t>APP_MODE_AUTO</t>
  </si>
  <si>
    <t>自动</t>
  </si>
  <si>
    <t>APP_EYE_CONSUMED</t>
  </si>
  <si>
    <t>已消耗</t>
  </si>
  <si>
    <t>APP_EYE_SERVICE</t>
  </si>
  <si>
    <t>服务眼盾</t>
  </si>
  <si>
    <t>APP_STATE_BOOT</t>
  </si>
  <si>
    <t>启动</t>
  </si>
  <si>
    <t>APP_STOP_NONE</t>
  </si>
  <si>
    <t>无停止</t>
  </si>
  <si>
    <t>APP_STATE_HOMING</t>
  </si>
  <si>
    <t>回零</t>
  </si>
  <si>
    <t>APP_STOP_USER</t>
  </si>
  <si>
    <t>APP_STATE_IDLE</t>
  </si>
  <si>
    <t>待机</t>
  </si>
  <si>
    <t>APP_STOP_NATURAL</t>
  </si>
  <si>
    <t>自然完成</t>
  </si>
  <si>
    <t>APP_STATE_PREHEAT</t>
  </si>
  <si>
    <t>预热</t>
  </si>
  <si>
    <t>APP_STOP_FAULT</t>
  </si>
  <si>
    <t>故障停止</t>
  </si>
  <si>
    <t>APP_STATE_READY</t>
  </si>
  <si>
    <t>已准备</t>
  </si>
  <si>
    <t>APP_STOP_POWER_LOSS</t>
  </si>
  <si>
    <t>掉电信号</t>
  </si>
  <si>
    <t>APP_STATE_RUNNING</t>
  </si>
  <si>
    <t>运行</t>
  </si>
  <si>
    <t>APP_STOP_CHARGING</t>
  </si>
  <si>
    <t>插入充电</t>
  </si>
  <si>
    <t>APP_STATE_STOPPING</t>
  </si>
  <si>
    <t>停止中（枚举保留）</t>
  </si>
  <si>
    <t>APP_STOP_EYE_REMOVED</t>
  </si>
  <si>
    <t>眼盾移除</t>
  </si>
  <si>
    <t>APP_STATE_FAULT</t>
  </si>
  <si>
    <t>故障</t>
  </si>
  <si>
    <t>APP_STOP_LOW_BATTERY</t>
  </si>
  <si>
    <t>低电关机</t>
  </si>
  <si>
    <t>APP_STATE_SHUTDOWN</t>
  </si>
  <si>
    <t>关机</t>
  </si>
  <si>
    <t>主板外置 EEPROM MAP（256字节）</t>
  </si>
  <si>
    <t>物理访问使用控制字节 A0 写/A1 读、8位存储地址。普通 ReadU16/WriteU16 为高字节在前；压力调参记录内部改用小端。</t>
  </si>
  <si>
    <t>起始地址</t>
  </si>
  <si>
    <t>结束地址</t>
  </si>
  <si>
    <t>字节数</t>
  </si>
  <si>
    <t>数据类型</t>
  </si>
  <si>
    <t>默认/有效值</t>
  </si>
  <si>
    <t>用途</t>
  </si>
  <si>
    <t>读写方</t>
  </si>
  <si>
    <t>备注/来源</t>
  </si>
  <si>
    <t>起始十进制</t>
  </si>
  <si>
    <t>结束十进制</t>
  </si>
  <si>
    <t>0x00</t>
  </si>
  <si>
    <t>大端</t>
  </si>
  <si>
    <t>StorageDriver_IncrementCounter / ScreenBootSync</t>
  </si>
  <si>
    <t>仅自然结束 +1</t>
  </si>
  <si>
    <t>0x02</t>
  </si>
  <si>
    <t>0x03</t>
  </si>
  <si>
    <t>同上</t>
  </si>
  <si>
    <t>0x04</t>
  </si>
  <si>
    <t>0x05</t>
  </si>
  <si>
    <t>自动治疗自然完成次数</t>
  </si>
  <si>
    <t>0x06</t>
  </si>
  <si>
    <t>0x07</t>
  </si>
  <si>
    <t>声音开关（新命令）</t>
  </si>
  <si>
    <t>RX 0x1060 / TX 0x00AB</t>
  </si>
  <si>
    <t>仅允许写0/1</t>
  </si>
  <si>
    <t>0x08</t>
  </si>
  <si>
    <t>0x09</t>
  </si>
  <si>
    <t>预设1温度</t>
  </si>
  <si>
    <t>RX 0x1039 / TX 0x00A5或A8</t>
  </si>
  <si>
    <t>单位按屏幕协议为整数°C</t>
  </si>
  <si>
    <t>0x0A</t>
  </si>
  <si>
    <t>预设1压力</t>
  </si>
  <si>
    <t>RX 0x1040设置帧 / TX 0x00A4或A9</t>
  </si>
  <si>
    <t>0x0C</t>
  </si>
  <si>
    <t>预设1时间</t>
  </si>
  <si>
    <t>RX 0x1041设置帧 / TX 0x00A6或AA</t>
  </si>
  <si>
    <t>分钟；倒计时归屏幕所有</t>
  </si>
  <si>
    <t>0x0E</t>
  </si>
  <si>
    <t>0x0F</t>
  </si>
  <si>
    <t>保留</t>
  </si>
  <si>
    <t>FF</t>
  </si>
  <si>
    <t>预设1尾部保留</t>
  </si>
  <si>
    <t>当前代码不访问</t>
  </si>
  <si>
    <t>预设2温度</t>
  </si>
  <si>
    <t>预设2压力</t>
  </si>
  <si>
    <t>预设2时间</t>
  </si>
  <si>
    <t>0x16</t>
  </si>
  <si>
    <t>0x17</t>
  </si>
  <si>
    <t>预设2尾部保留</t>
  </si>
  <si>
    <t>0x18</t>
  </si>
  <si>
    <t>0x19</t>
  </si>
  <si>
    <t>预设3温度</t>
  </si>
  <si>
    <t>0x1A</t>
  </si>
  <si>
    <t>0x1B</t>
  </si>
  <si>
    <t>预设3压力</t>
  </si>
  <si>
    <t>0x1C</t>
  </si>
  <si>
    <t>0x1D</t>
  </si>
  <si>
    <t>预设3时间</t>
  </si>
  <si>
    <t>0x1E</t>
  </si>
  <si>
    <t>0x1F</t>
  </si>
  <si>
    <t>预设3尾部保留</t>
  </si>
  <si>
    <t>0x89</t>
  </si>
  <si>
    <t>二进制记录</t>
  </si>
  <si>
    <t>小端字段</t>
  </si>
  <si>
    <t>魔数 PT / 版本8 / 档位5 / CRC有效</t>
  </si>
  <si>
    <t>五档压力调参记录</t>
  </si>
  <si>
    <t>PressureTuning_Load/Save</t>
  </si>
  <si>
    <t>详见“压力存储”；当前代码实际结束于0x89</t>
  </si>
  <si>
    <t>0x8A</t>
  </si>
  <si>
    <t>0xF1</t>
  </si>
  <si>
    <t>未分配</t>
  </si>
  <si>
    <t>0xF2</t>
  </si>
  <si>
    <t>0xF3</t>
  </si>
  <si>
    <t>眼盾更换/消耗计数</t>
  </si>
  <si>
    <t>成功标记眼盾后 +1；TX 0x00B0</t>
  </si>
  <si>
    <t>当前 fuse=0 时不会因开始治疗累加</t>
  </si>
  <si>
    <t>0xF4</t>
  </si>
  <si>
    <t>0xF7</t>
  </si>
  <si>
    <t>0xF8</t>
  </si>
  <si>
    <t>0xF9</t>
  </si>
  <si>
    <t>读取默认1</t>
  </si>
  <si>
    <t>RX 0x1043 / 开机TX 0x00A7</t>
  </si>
  <si>
    <t>无范围限制</t>
  </si>
  <si>
    <t>0xFA</t>
  </si>
  <si>
    <t>0xFB</t>
  </si>
  <si>
    <t>旧 MAP 曾标 BQ27441，当前代码无访问</t>
  </si>
  <si>
    <t>0xFC</t>
  </si>
  <si>
    <t>0xFD</t>
  </si>
  <si>
    <t>RX 0x1044 / TX 0x00A3</t>
  </si>
  <si>
    <t>写允许0～3；开机同步仅接受1～3，否则按1处理</t>
  </si>
  <si>
    <t>0xFE</t>
  </si>
  <si>
    <t>0xFF</t>
  </si>
  <si>
    <t>0x4854</t>
  </si>
  <si>
    <t>新机预设初始化提交标志</t>
  </si>
  <si>
    <t>StorageDriver_Init</t>
  </si>
  <si>
    <t>最后写入；掉电前未提交则下次重试</t>
  </si>
  <si>
    <t>覆盖检查</t>
  </si>
  <si>
    <t>MAP 合计字节</t>
  </si>
  <si>
    <t>期望</t>
  </si>
  <si>
    <t>检查</t>
  </si>
  <si>
    <t>重要：PRODUCT_MAIN_EEPROM_FILL_FF_ON_BOOT 当前为 1U。StorageDriver_Init 每次启动先全擦 256 字节，再写入新机默认预设，因此上述计数、用户预设和压力调参不会跨重启保留。</t>
  </si>
  <si>
    <t>压力调参 EEPROM 记录（0x20～0x89）</t>
  </si>
  <si>
    <t>总长 106 字节：4字节头 + 5×20字节档位 + 2字节 CRC。保存时先将魔数清零使旧记录失效，最后提交 PT 并完整回读比较。</t>
  </si>
  <si>
    <t>起始</t>
  </si>
  <si>
    <t>结束</t>
  </si>
  <si>
    <t>编码/值</t>
  </si>
  <si>
    <t>magic</t>
  </si>
  <si>
    <t>2×uint8</t>
  </si>
  <si>
    <t>0x50 0x54（ASCII PT）</t>
  </si>
  <si>
    <t>有效记录魔数；保存时最后提交</t>
  </si>
  <si>
    <t>pressure_tuning.c:8-16,206-217</t>
  </si>
  <si>
    <t>version</t>
  </si>
  <si>
    <t>版本不匹配则使用编译默认值</t>
  </si>
  <si>
    <t>pressure_tuning.c:11,146-153</t>
  </si>
  <si>
    <t>profile_count</t>
  </si>
  <si>
    <t>档位数量必须匹配</t>
  </si>
  <si>
    <t>pressure_tuning.c:146-153</t>
  </si>
  <si>
    <t>0x37</t>
  </si>
  <si>
    <t>profile[0]</t>
  </si>
  <si>
    <t>定点字段</t>
  </si>
  <si>
    <t>目标 ≤200 mmHg</t>
  </si>
  <si>
    <t>档位0</t>
  </si>
  <si>
    <t>pressure_tuning.c:178-182</t>
  </si>
  <si>
    <t>0x38</t>
  </si>
  <si>
    <t>0x4B</t>
  </si>
  <si>
    <t>profile[1]</t>
  </si>
  <si>
    <t>200&lt;T≤300</t>
  </si>
  <si>
    <t>档位1</t>
  </si>
  <si>
    <t>0x4C</t>
  </si>
  <si>
    <t>0x5F</t>
  </si>
  <si>
    <t>profile[2]</t>
  </si>
  <si>
    <t>300&lt;T≤400</t>
  </si>
  <si>
    <t>档位2</t>
  </si>
  <si>
    <t>0x60</t>
  </si>
  <si>
    <t>0x73</t>
  </si>
  <si>
    <t>profile[3]</t>
  </si>
  <si>
    <t>400&lt;T≤500</t>
  </si>
  <si>
    <t>档位3</t>
  </si>
  <si>
    <t>0x74</t>
  </si>
  <si>
    <t>0x87</t>
  </si>
  <si>
    <t>profile[4]</t>
  </si>
  <si>
    <t>T&gt;500</t>
  </si>
  <si>
    <t>档位4</t>
  </si>
  <si>
    <t>0x88</t>
  </si>
  <si>
    <t>crc16</t>
  </si>
  <si>
    <t>覆盖0x20～0x87共104字节</t>
  </si>
  <si>
    <t>pressure_tuning.c:142-153,200-204</t>
  </si>
  <si>
    <t>单档 20 字节字段布局</t>
  </si>
  <si>
    <t>档内偏移</t>
  </si>
  <si>
    <t>字段索引</t>
  </si>
  <si>
    <t>存储类型</t>
  </si>
  <si>
    <t>编码</t>
  </si>
  <si>
    <t>解码</t>
  </si>
  <si>
    <t>合法范围</t>
  </si>
  <si>
    <t>调参协议字段</t>
  </si>
  <si>
    <t>+0～+1</t>
  </si>
  <si>
    <t>sensitivity_mv_v</t>
  </si>
  <si>
    <t>uint16 LE</t>
  </si>
  <si>
    <t>值×10000</t>
  </si>
  <si>
    <t>raw/10000</t>
  </si>
  <si>
    <t>0.05～5.0</t>
  </si>
  <si>
    <t>pressure_tuning.c:102,124</t>
  </si>
  <si>
    <t>+2～+3</t>
  </si>
  <si>
    <t>offset_mmhg</t>
  </si>
  <si>
    <t>int16 LE</t>
  </si>
  <si>
    <t>值×10</t>
  </si>
  <si>
    <t>int16(raw)/10</t>
  </si>
  <si>
    <t>-200～200</t>
  </si>
  <si>
    <t>pressure_tuning.c:103,125</t>
  </si>
  <si>
    <t>+4～+5</t>
  </si>
  <si>
    <t>fast_speed</t>
  </si>
  <si>
    <t>四舍五入</t>
  </si>
  <si>
    <t>raw</t>
  </si>
  <si>
    <t>0～65535</t>
  </si>
  <si>
    <t>pressure_tuning.c:104,126</t>
  </si>
  <si>
    <t>+6～+7</t>
  </si>
  <si>
    <t>approach_speed</t>
  </si>
  <si>
    <t>pressure_tuning.c:105,127</t>
  </si>
  <si>
    <t>+8～+9</t>
  </si>
  <si>
    <t>retract_speed</t>
  </si>
  <si>
    <t>pressure_tuning.c:106,128</t>
  </si>
  <si>
    <t>+10～+11</t>
  </si>
  <si>
    <t>speed_switch_percent</t>
  </si>
  <si>
    <t>raw/10</t>
  </si>
  <si>
    <t>5～100%</t>
  </si>
  <si>
    <t>pressure_tuning.c:107,129</t>
  </si>
  <si>
    <t>+12～+13</t>
  </si>
  <si>
    <t>hold_switch_percent</t>
  </si>
  <si>
    <t>≥speed_switch 且≤100%</t>
  </si>
  <si>
    <t>pressure_tuning.c:108,130</t>
  </si>
  <si>
    <t>+14～+15</t>
  </si>
  <si>
    <t>retract_ms</t>
  </si>
  <si>
    <t>毫秒整数</t>
  </si>
  <si>
    <t>0～10000 ms</t>
  </si>
  <si>
    <t>float32传输后取整</t>
  </si>
  <si>
    <t>pressure_tuning.c:109,131</t>
  </si>
  <si>
    <t>+16～+17</t>
  </si>
  <si>
    <t>kp</t>
  </si>
  <si>
    <t>0～1000</t>
  </si>
  <si>
    <t>pressure_tuning.c:110,132</t>
  </si>
  <si>
    <t>+18～+19</t>
  </si>
  <si>
    <t>ki</t>
  </si>
  <si>
    <t>0～100</t>
  </si>
  <si>
    <t>pressure_tuning.c:111,133</t>
  </si>
  <si>
    <t>编译默认值与选档条件</t>
  </si>
  <si>
    <t>档位</t>
  </si>
  <si>
    <t>选择条件</t>
  </si>
  <si>
    <t>灵敏度</t>
  </si>
  <si>
    <t>偏移mmHg</t>
  </si>
  <si>
    <t>快速速度</t>
  </si>
  <si>
    <t>接近速度</t>
  </si>
  <si>
    <t>回退速度</t>
  </si>
  <si>
    <t>接近阈值%</t>
  </si>
  <si>
    <t>保压阈值%</t>
  </si>
  <si>
    <t>回退ms / Kp / Ki</t>
  </si>
  <si>
    <t>T≤200</t>
  </si>
  <si>
    <t>500 / 50 / 0</t>
  </si>
  <si>
    <t>600 / 150 / 0</t>
  </si>
  <si>
    <t>800 / 150 / 0</t>
  </si>
  <si>
    <t>800 / 100 / 0</t>
  </si>
  <si>
    <t>1000 / 100 / 0</t>
  </si>
  <si>
    <t>掉电安全：保存流程先写 0x20～0x21=00 00，再写 0x22～0x89，最后提交 0x20～0x21=50 54；随后完整回读比较。任何中途掉电产生的半记录都不会通过魔数/版本/范围/CRC校验。</t>
  </si>
  <si>
    <t>眼盾 EEPROM MAP 与状态判定</t>
  </si>
  <si>
    <t>眼盾 EEPROM 位于 I2C2，控制地址 0xA0，8位存储地址，容量按代码擦除范围为 256 字节。标记读取为高字节在前。</t>
  </si>
  <si>
    <t>有效值</t>
  </si>
  <si>
    <t>当前未使用</t>
  </si>
  <si>
    <t>FFFF=未使用；0001=已使用</t>
  </si>
  <si>
    <t>眼盾使用/消耗标记</t>
  </si>
  <si>
    <t>eye_driver.c:14,121-132,235-260</t>
  </si>
  <si>
    <t>0202=服务眼盾</t>
  </si>
  <si>
    <t>服务眼盾标记，优先于使用标记</t>
  </si>
  <si>
    <t>eye_driver.c:15-16,121-132</t>
  </si>
  <si>
    <t>EyeDriver_Erase 全范围擦除</t>
  </si>
  <si>
    <t>状态判定</t>
  </si>
  <si>
    <t>优先级</t>
  </si>
  <si>
    <t>前提</t>
  </si>
  <si>
    <t>服务标记</t>
  </si>
  <si>
    <t>使用标记</t>
  </si>
  <si>
    <t>结果</t>
  </si>
  <si>
    <t>屏幕在线值</t>
  </si>
  <si>
    <t>治疗资格</t>
  </si>
  <si>
    <t>TMP112或EEPROM通信失败</t>
  </si>
  <si>
    <t>禁止</t>
  </si>
  <si>
    <t>经插拔去抖后确认</t>
  </si>
  <si>
    <t>通信正常</t>
  </si>
  <si>
    <t>任意</t>
  </si>
  <si>
    <t>允许</t>
  </si>
  <si>
    <t>服务标记优先</t>
  </si>
  <si>
    <t>fuse启用且通信正常</t>
  </si>
  <si>
    <t>非0x0202</t>
  </si>
  <si>
    <t>0xFFFF</t>
  </si>
  <si>
    <t>首次正式动作写0001并回读校验</t>
  </si>
  <si>
    <t>非0xFFFF</t>
  </si>
  <si>
    <t>同一次连续插入已转IN_USE时例外</t>
  </si>
  <si>
    <t>fuse关闭且通信正常</t>
  </si>
  <si>
    <t>忽略</t>
  </si>
  <si>
    <t>当前配置 PRODUCT_EYE_FUSE_ENABLED=0U</t>
  </si>
  <si>
    <t>当前编译配置影响</t>
  </si>
  <si>
    <t>PRODUCT_EYE_FUSE_ENABLED 当前为 0U：EyeDriver_MarkConsumed() 不写 0x01～0x02，读取状态时也不检查使用标记；因此首次治疗不会累加主板 EEPROM 0xF2 的眼盾更换次数。若切换为 1U，正式治疗首次动作会写入 0001、回读确认，并将主板 0xF2 计数 +1。</t>
  </si>
  <si>
    <t>插拔去抖：轮询周期100 ms；插入需连续5次有效样本（约500 ms），移除需连续3次（约300 ms）；上电首次确认“缺失”需15次失败样本（约1.5 s）。单次 I2C 失败不会直接伪装成物理拔出。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</si>
</sst>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sz val="10"/>
      <color rgb="FFFFFFFF"/>
      <name val="Microsoft YaHei"/>
      <charset val="134"/>
    </font>
    <font>
      <sz val="10"/>
      <color rgb="FF666666"/>
      <name val="Microsoft YaHei"/>
      <charset val="134"/>
    </font>
    <font>
      <b/>
      <sz val="10"/>
      <color rgb="FF9C0006"/>
      <name val="Microsoft YaHei"/>
      <charset val="134"/>
    </font>
    <font>
      <sz val="10"/>
      <color rgb="FF9C0006"/>
      <name val="Microsoft YaHei"/>
      <charset val="134"/>
    </font>
    <font>
      <sz val="10"/>
      <color rgb="FF006100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3"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numFmt numFmtId="0" formatCode="General"/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Table" displayName="OverviewTable" ref="A5:H8" totalsRowShown="0">
  <autoFilter xmlns:etc="http://www.wps.cn/officeDocument/2017/etCustomData" ref="A5:H8" etc:filterBottomFollowUsedRange="0"/>
  <tableColumns count="8">
    <tableColumn id="1" name="指标" dataDxfId="0"/>
    <tableColumn id="2" name="值" dataDxfId="1"/>
    <tableColumn id="3" name="指标2" dataDxfId="2"/>
    <tableColumn id="4" name="值3" dataDxfId="3"/>
    <tableColumn id="5" name="指标4" dataDxfId="4"/>
    <tableColumn id="6" name="值5" dataDxfId="5"/>
    <tableColumn id="7" name="指标6" dataDxfId="6"/>
    <tableColumn id="8" name="值7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Table" displayName="RiskTable" ref="A11:H13" totalsRowShown="0">
  <autoFilter xmlns:etc="http://www.wps.cn/officeDocument/2017/etCustomData" ref="A11:H13" etc:filterBottomFollowUsedRange="0"/>
  <tableColumns count="8">
    <tableColumn id="1" name="级别" dataDxfId="8"/>
    <tableColumn id="2" name="配置项" dataDxfId="9"/>
    <tableColumn id="3" name="当前值" dataDxfId="10"/>
    <tableColumn id="4" name="实际影响" dataDxfId="11"/>
    <tableColumn id="5" name="生产建议" dataDxfId="12"/>
    <tableColumn id="6" name="来源" dataDxfId="13"/>
    <tableColumn id="7" name="状态" dataDxfId="14"/>
    <tableColumn id="8" name="备注" dataDxfId="1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ourceTable" displayName="SourceTable" ref="A20:H22" totalsRowShown="0">
  <autoFilter xmlns:etc="http://www.wps.cn/officeDocument/2017/etCustomData" ref="A20:H22" etc:filterBottomFollowUsedRange="0"/>
  <tableColumns count="8">
    <tableColumn id="1" name="主题" dataDxfId="16"/>
    <tableColumn id="2" name="文件" dataDxfId="17"/>
    <tableColumn id="3" name="主题2" dataDxfId="18"/>
    <tableColumn id="4" name="文件3" dataDxfId="19"/>
    <tableColumn id="5" name="主题4" dataDxfId="20"/>
    <tableColumn id="6" name="文件5" dataDxfId="21"/>
    <tableColumn id="7" name="主题6" dataDxfId="22"/>
    <tableColumn id="8" name="文件7" dataDxfId="2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FaultCodeTable" displayName="FaultCodeTable" ref="A3:I14" totalsRowShown="0">
  <autoFilter xmlns:etc="http://www.wps.cn/officeDocument/2017/etCustomData" ref="A3:I14" etc:filterBottomFollowUsedRange="0"/>
  <tableColumns count="9">
    <tableColumn id="1" name="故障码" dataDxfId="24"/>
    <tableColumn id="2" name="符号" dataDxfId="25"/>
    <tableColumn id="3" name="类别" dataDxfId="26"/>
    <tableColumn id="4" name="含义" dataDxfId="27"/>
    <tableColumn id="5" name="当前触发条件" dataDxfId="28"/>
    <tableColumn id="6" name="清除/恢复规则" dataDxfId="29"/>
    <tableColumn id="7" name="当前有触发路径" dataDxfId="30"/>
    <tableColumn id="8" name="上报位置" dataDxfId="31"/>
    <tableColumn id="9" name="源码" dataDxfId="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reenInfoTable" displayName="ScreenInfoTable" ref="A3:H6" totalsRowShown="0">
  <autoFilter xmlns:etc="http://www.wps.cn/officeDocument/2017/etCustomData" ref="A3:H6" etc:filterBottomFollowUsedRange="0"/>
  <tableColumns count="8">
    <tableColumn id="1" name="项目" dataDxfId="33"/>
    <tableColumn id="2" name="工作帧" dataDxfId="34"/>
    <tableColumn id="3" name="设置帧" dataDxfId="35"/>
    <tableColumn id="4" name="说明" dataDxfId="36"/>
    <tableColumn id="5" name="项目2" dataDxfId="37"/>
    <tableColumn id="6" name="值" dataDxfId="38"/>
    <tableColumn id="7" name="覆盖范围" dataDxfId="39"/>
    <tableColumn id="8" name="源码" dataDxfId="40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WorkFrameTable" displayName="WorkFrameTable" ref="A9:H17" totalsRowShown="0">
  <autoFilter xmlns:etc="http://www.wps.cn/officeDocument/2017/etCustomData" ref="A9:H17" etc:filterBottomFollowUsedRange="0"/>
  <tableColumns count="8">
    <tableColumn id="1" name="偏移" dataDxfId="41"/>
    <tableColumn id="2" name="长度" dataDxfId="42"/>
    <tableColumn id="3" name="字段" dataDxfId="43"/>
    <tableColumn id="4" name="字节序" dataDxfId="44"/>
    <tableColumn id="5" name="固定值/格式" dataDxfId="45"/>
    <tableColumn id="6" name="CRC 覆盖" dataDxfId="46"/>
    <tableColumn id="7" name="说明" dataDxfId="47"/>
    <tableColumn id="8" name="示例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epFrameTable" displayName="PrepFrameTable" ref="A20:H28" totalsRowShown="0">
  <autoFilter xmlns:etc="http://www.wps.cn/officeDocument/2017/etCustomData" ref="A20:H28" etc:filterBottomFollowUsedRange="0"/>
  <tableColumns count="8">
    <tableColumn id="1" name="偏移" dataDxfId="49"/>
    <tableColumn id="2" name="长度" dataDxfId="50"/>
    <tableColumn id="3" name="字段" dataDxfId="51"/>
    <tableColumn id="4" name="字节序" dataDxfId="52"/>
    <tableColumn id="5" name="固定值/格式" dataDxfId="53"/>
    <tableColumn id="6" name="CRC 覆盖" dataDxfId="54"/>
    <tableColumn id="7" name="说明" dataDxfId="55"/>
    <tableColumn id="8" name="示例" dataDxfId="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creenCommandTable" displayName="ScreenCommandTable" ref="A3:H56" totalsRowShown="0">
  <autoFilter xmlns:etc="http://www.wps.cn/officeDocument/2017/etCustomData" ref="A3:H56" etc:filterBottomFollowUsedRange="0"/>
  <tableColumns count="8">
    <tableColumn id="1" name="方向" dataDxfId="57"/>
    <tableColumn id="2" name="命令" dataDxfId="58"/>
    <tableColumn id="3" name="帧类型" dataDxfId="59"/>
    <tableColumn id="4" name="负载" dataDxfId="60"/>
    <tableColumn id="5" name="数值/范围" dataDxfId="61"/>
    <tableColumn id="6" name="当前行为" dataDxfId="62"/>
    <tableColumn id="7" name="关联应答/存储" dataDxfId="63"/>
    <tableColumn id="8" name="源码" dataDxfId="6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uningFrameTable" displayName="TuningFrameTable" ref="A3:H11" totalsRowShown="0">
  <autoFilter xmlns:etc="http://www.wps.cn/officeDocument/2017/etCustomData" ref="A3:H11" etc:filterBottomFollowUsedRange="0"/>
  <tableColumns count="8">
    <tableColumn id="1" name="偏移" dataDxfId="65"/>
    <tableColumn id="2" name="长度" dataDxfId="66"/>
    <tableColumn id="3" name="字段" dataDxfId="67"/>
    <tableColumn id="4" name="字节序" dataDxfId="68"/>
    <tableColumn id="5" name="固定值/范围" dataDxfId="69"/>
    <tableColumn id="6" name="CRC覆盖" dataDxfId="70"/>
    <tableColumn id="7" name="说明" dataDxfId="71"/>
    <tableColumn id="8" name="源码" dataDxfId="72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TuningCommandTable" displayName="TuningCommandTable" ref="A15:H39" totalsRowShown="0">
  <autoFilter xmlns:etc="http://www.wps.cn/officeDocument/2017/etCustomData" ref="A15:H39" etc:filterBottomFollowUsedRange="0"/>
  <tableColumns count="8">
    <tableColumn id="1" name="方向" dataDxfId="73"/>
    <tableColumn id="2" name="命令" dataDxfId="74"/>
    <tableColumn id="3" name="名称" dataDxfId="75"/>
    <tableColumn id="4" name="负载长度" dataDxfId="76"/>
    <tableColumn id="5" name="负载/范围" dataDxfId="77"/>
    <tableColumn id="6" name="成功响应" dataDxfId="78"/>
    <tableColumn id="7" name="行为与限制" dataDxfId="79"/>
    <tableColumn id="8" name="源码" dataDxfId="8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uningStatusTable" displayName="TuningStatusTable" ref="A43:H49" totalsRowShown="0">
  <autoFilter xmlns:etc="http://www.wps.cn/officeDocument/2017/etCustomData" ref="A43:H49" etc:filterBottomFollowUsedRange="0"/>
  <tableColumns count="8">
    <tableColumn id="1" name="状态" dataDxfId="81"/>
    <tableColumn id="2" name="符号" dataDxfId="82"/>
    <tableColumn id="3" name="含义" dataDxfId="83"/>
    <tableColumn id="4" name="典型原因" dataDxfId="84"/>
    <tableColumn id="5" name="状态2" dataDxfId="85"/>
    <tableColumn id="6" name="符号3" dataDxfId="86"/>
    <tableColumn id="7" name="含义4" dataDxfId="87"/>
    <tableColumn id="8" name="典型原因5" dataDxfId="88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TelemetryTable" displayName="TelemetryTable" ref="A3:I28" totalsRowShown="0">
  <autoFilter xmlns:etc="http://www.wps.cn/officeDocument/2017/etCustomData" ref="A3:I28" etc:filterBottomFollowUsedRange="0"/>
  <tableColumns count="9">
    <tableColumn id="1" name="偏移" dataDxfId="89"/>
    <tableColumn id="2" name="长度" dataDxfId="90"/>
    <tableColumn id="3" name="类型" dataDxfId="91"/>
    <tableColumn id="4" name="字段" dataDxfId="92"/>
    <tableColumn id="5" name="单位/取值" dataDxfId="93"/>
    <tableColumn id="6" name="说明" dataDxfId="94"/>
    <tableColumn id="7" name="关联枚举" dataDxfId="95"/>
    <tableColumn id="8" name="有效性" dataDxfId="96"/>
    <tableColumn id="9" name="源码" dataDxfId="9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HomeEventTable" displayName="HomeEventTable" ref="A32:I37" totalsRowShown="0">
  <autoFilter xmlns:etc="http://www.wps.cn/officeDocument/2017/etCustomData" ref="A32:I37" etc:filterBottomFollowUsedRange="0"/>
  <tableColumns count="9">
    <tableColumn id="1" name="偏移" dataDxfId="98"/>
    <tableColumn id="2" name="长度" dataDxfId="99"/>
    <tableColumn id="3" name="类型" dataDxfId="100"/>
    <tableColumn id="4" name="字段" dataDxfId="101"/>
    <tableColumn id="5" name="单位/取值" dataDxfId="102"/>
    <tableColumn id="6" name="说明" dataDxfId="103"/>
    <tableColumn id="7" name="关联枚举" dataDxfId="104"/>
    <tableColumn id="8" name="有效性" dataDxfId="105"/>
    <tableColumn id="9" name="源码" dataDxfId="106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id="14" name="EnumTable" displayName="EnumTable" ref="A41:I55" totalsRowShown="0">
  <autoFilter xmlns:etc="http://www.wps.cn/officeDocument/2017/etCustomData" ref="A41:I55" etc:filterBottomFollowUsedRange="0"/>
  <tableColumns count="9">
    <tableColumn id="1" name="枚举" dataDxfId="107"/>
    <tableColumn id="2" name="值" dataDxfId="108"/>
    <tableColumn id="3" name="符号" dataDxfId="109"/>
    <tableColumn id="4" name="含义" dataDxfId="110"/>
    <tableColumn id="5" name="枚举2" dataDxfId="111"/>
    <tableColumn id="6" name="值3" dataDxfId="112"/>
    <tableColumn id="7" name="符号4" dataDxfId="113"/>
    <tableColumn id="8" name="含义5" dataDxfId="114"/>
    <tableColumn id="9" name="源码" dataDxfId="1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MainEepromTable" displayName="MainEepromTable" ref="A3:K27" totalsRowShown="0">
  <autoFilter xmlns:etc="http://www.wps.cn/officeDocument/2017/etCustomData" ref="A3:K27" etc:filterBottomFollowUsedRange="0"/>
  <tableColumns count="11">
    <tableColumn id="1" name="起始地址" dataDxfId="116"/>
    <tableColumn id="2" name="结束地址" dataDxfId="117"/>
    <tableColumn id="3" name="字节数" dataDxfId="118">
      <calculatedColumnFormula>K4-J4+1</calculatedColumnFormula>
    </tableColumn>
    <tableColumn id="4" name="数据类型" dataDxfId="119"/>
    <tableColumn id="5" name="字节序" dataDxfId="120"/>
    <tableColumn id="6" name="默认/有效值" dataDxfId="121"/>
    <tableColumn id="7" name="用途" dataDxfId="122"/>
    <tableColumn id="8" name="读写方" dataDxfId="123"/>
    <tableColumn id="9" name="备注/来源" dataDxfId="124"/>
    <tableColumn id="10" name="起始十进制" dataDxfId="125"/>
    <tableColumn id="11" name="结束十进制" dataDxfId="12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uningRecordMap" displayName="TuningRecordMap" ref="A3:J12" totalsRowShown="0">
  <autoFilter xmlns:etc="http://www.wps.cn/officeDocument/2017/etCustomData" ref="A3:J12" etc:filterBottomFollowUsedRange="0"/>
  <tableColumns count="10">
    <tableColumn id="1" name="起始" dataDxfId="127"/>
    <tableColumn id="2" name="结束" dataDxfId="128"/>
    <tableColumn id="3" name="长度" dataDxfId="129"/>
    <tableColumn id="4" name="字段" dataDxfId="130"/>
    <tableColumn id="5" name="类型" dataDxfId="131"/>
    <tableColumn id="6" name="字节序" dataDxfId="132"/>
    <tableColumn id="7" name="编码/值" dataDxfId="133"/>
    <tableColumn id="8" name="CRC覆盖" dataDxfId="134"/>
    <tableColumn id="9" name="说明" dataDxfId="135"/>
    <tableColumn id="10" name="源码" dataDxfId="13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uningFieldMap" displayName="TuningFieldMap" ref="A16:J26" totalsRowShown="0">
  <autoFilter xmlns:etc="http://www.wps.cn/officeDocument/2017/etCustomData" ref="A16:J26" etc:filterBottomFollowUsedRange="0"/>
  <tableColumns count="10">
    <tableColumn id="1" name="档内偏移" dataDxfId="137"/>
    <tableColumn id="2" name="长度" dataDxfId="138"/>
    <tableColumn id="3" name="字段索引" dataDxfId="139"/>
    <tableColumn id="4" name="字段" dataDxfId="140"/>
    <tableColumn id="5" name="存储类型" dataDxfId="141"/>
    <tableColumn id="6" name="编码" dataDxfId="142"/>
    <tableColumn id="7" name="解码" dataDxfId="143"/>
    <tableColumn id="8" name="合法范围" dataDxfId="144"/>
    <tableColumn id="9" name="调参协议字段" dataDxfId="145"/>
    <tableColumn id="10" name="源码" dataDxfId="146"/>
  </tableColumns>
  <tableStyleInfo name="TableStyleMedium4" showFirstColumn="0" showLastColumn="0" showRowStripes="1" showColumnStripes="0"/>
</table>
</file>

<file path=xl/tables/table18.xml><?xml version="1.0" encoding="utf-8"?>
<table xmlns="http://schemas.openxmlformats.org/spreadsheetml/2006/main" id="18" name="TuningDefaultTable" displayName="TuningDefaultTable" ref="A30:J35" totalsRowShown="0">
  <autoFilter xmlns:etc="http://www.wps.cn/officeDocument/2017/etCustomData" ref="A30:J35" etc:filterBottomFollowUsedRange="0"/>
  <tableColumns count="10">
    <tableColumn id="1" name="档位" dataDxfId="147"/>
    <tableColumn id="2" name="选择条件" dataDxfId="148"/>
    <tableColumn id="3" name="灵敏度" dataDxfId="149"/>
    <tableColumn id="4" name="偏移mmHg" dataDxfId="150"/>
    <tableColumn id="5" name="快速速度" dataDxfId="151"/>
    <tableColumn id="6" name="接近速度" dataDxfId="152"/>
    <tableColumn id="7" name="回退速度" dataDxfId="153"/>
    <tableColumn id="8" name="接近阈值%" dataDxfId="154"/>
    <tableColumn id="9" name="保压阈值%" dataDxfId="155"/>
    <tableColumn id="10" name="回退ms / Kp / Ki" dataDxfId="15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EyeEepromTable" displayName="EyeEepromTable" ref="A3:H7" totalsRowShown="0">
  <autoFilter xmlns:etc="http://www.wps.cn/officeDocument/2017/etCustomData" ref="A3:H7" etc:filterBottomFollowUsedRange="0"/>
  <tableColumns count="8">
    <tableColumn id="1" name="起始" dataDxfId="157"/>
    <tableColumn id="2" name="结束" dataDxfId="158"/>
    <tableColumn id="3" name="长度" dataDxfId="159"/>
    <tableColumn id="4" name="类型" dataDxfId="160"/>
    <tableColumn id="5" name="字节序" dataDxfId="161"/>
    <tableColumn id="6" name="有效值" dataDxfId="162"/>
    <tableColumn id="7" name="用途" dataDxfId="163"/>
    <tableColumn id="8" name="源码" dataDxfId="16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EyeRuleTable" displayName="EyeRuleTable" ref="A11:H16" totalsRowShown="0">
  <autoFilter xmlns:etc="http://www.wps.cn/officeDocument/2017/etCustomData" ref="A11:H16" etc:filterBottomFollowUsedRange="0"/>
  <tableColumns count="8">
    <tableColumn id="1" name="优先级" dataDxfId="165"/>
    <tableColumn id="2" name="前提" dataDxfId="166"/>
    <tableColumn id="3" name="服务标记" dataDxfId="167"/>
    <tableColumn id="4" name="使用标记" dataDxfId="168"/>
    <tableColumn id="5" name="结果" dataDxfId="169"/>
    <tableColumn id="6" name="屏幕在线值" dataDxfId="170"/>
    <tableColumn id="7" name="治疗资格" dataDxfId="171"/>
    <tableColumn id="8" name="说明" dataDxfId="17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2"/>
  <sheetViews>
    <sheetView showGridLines="0" zoomScale="90" zoomScaleNormal="90" workbookViewId="0">
      <pane ySplit="4" topLeftCell="A5" activePane="bottomLeft" state="frozen"/>
      <selection/>
      <selection pane="bottomLeft" activeCell="A5" sqref="A5"/>
    </sheetView>
  </sheetViews>
  <sheetFormatPr defaultColWidth="9" defaultRowHeight="13.7" outlineLevelCol="7"/>
  <cols>
    <col min="1" max="1" width="18.6416666666667" style="1" customWidth="1"/>
    <col min="2" max="2" width="25.6416666666667" style="1" customWidth="1"/>
    <col min="3" max="3" width="20.6416666666667" style="1" customWidth="1"/>
    <col min="4" max="4" width="25.6416666666667" style="1" customWidth="1"/>
    <col min="5" max="5" width="20.6416666666667" style="1" customWidth="1"/>
    <col min="6" max="6" width="25.6416666666667" style="1" customWidth="1"/>
    <col min="7" max="7" width="18.6416666666667" style="1" customWidth="1"/>
    <col min="8" max="8" width="25.6416666666667" style="1" customWidth="1"/>
    <col min="9" max="16384" width="9.14166666666667" style="1"/>
  </cols>
  <sheetData>
    <row r="1" ht="14.55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/>
      <c r="C2" s="3"/>
      <c r="D2" s="3"/>
      <c r="E2" s="3"/>
      <c r="F2" s="3"/>
      <c r="G2" s="3"/>
      <c r="H2" s="3"/>
    </row>
    <row r="3" spans="1:8">
      <c r="A3" s="4"/>
      <c r="B3" s="4"/>
      <c r="C3" s="4"/>
      <c r="D3" s="4"/>
      <c r="E3" s="4"/>
      <c r="F3" s="4"/>
      <c r="G3" s="4"/>
      <c r="H3" s="4"/>
    </row>
    <row r="4" ht="14.55" spans="1:8">
      <c r="A4" s="5" t="s">
        <v>2</v>
      </c>
      <c r="B4" s="5"/>
      <c r="C4" s="5"/>
      <c r="D4" s="5"/>
      <c r="E4" s="5"/>
      <c r="F4" s="5"/>
      <c r="G4" s="5"/>
      <c r="H4" s="5"/>
    </row>
    <row r="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7.45" spans="1:8">
      <c r="A6" s="4" t="s">
        <v>11</v>
      </c>
      <c r="B6" s="4">
        <f>COUNTIF(故障码!$G$4:$G$14,"是")</f>
        <v>6</v>
      </c>
      <c r="C6" s="4" t="s">
        <v>12</v>
      </c>
      <c r="D6" s="4">
        <f>COUNTA(故障码!$A$5:$A$14)</f>
        <v>10</v>
      </c>
      <c r="E6" s="4" t="s">
        <v>13</v>
      </c>
      <c r="F6" s="4">
        <f>COUNTIF(屏幕命令!$A$4:$A$52,"屏幕→主板")</f>
        <v>25</v>
      </c>
      <c r="G6" s="4" t="s">
        <v>14</v>
      </c>
      <c r="H6" s="4">
        <v>256</v>
      </c>
    </row>
    <row r="7" ht="27.45" spans="1:8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H7" s="4">
        <v>20260828</v>
      </c>
    </row>
    <row r="8" ht="27.45" spans="1:8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</row>
    <row r="9" spans="1:8">
      <c r="A9" s="4"/>
      <c r="B9" s="4"/>
      <c r="C9" s="4"/>
      <c r="D9" s="4"/>
      <c r="E9" s="4"/>
      <c r="F9" s="4"/>
      <c r="G9" s="4"/>
      <c r="H9" s="4"/>
    </row>
    <row r="10" ht="14.55" spans="1:8">
      <c r="A10" s="6" t="s">
        <v>30</v>
      </c>
      <c r="B10" s="6"/>
      <c r="C10" s="6"/>
      <c r="D10" s="6"/>
      <c r="E10" s="6"/>
      <c r="F10" s="6"/>
      <c r="G10" s="6"/>
      <c r="H10" s="6"/>
    </row>
    <row r="11" spans="1:8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  <c r="H11" s="4" t="s">
        <v>38</v>
      </c>
    </row>
    <row r="12" ht="27.45" spans="1:8">
      <c r="A12" s="4" t="s">
        <v>39</v>
      </c>
      <c r="B12" s="4" t="s">
        <v>40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45</v>
      </c>
      <c r="H12" s="4" t="s">
        <v>46</v>
      </c>
    </row>
    <row r="13" ht="41.15" spans="1:8">
      <c r="A13" s="4" t="s">
        <v>39</v>
      </c>
      <c r="B13" s="4" t="s">
        <v>47</v>
      </c>
      <c r="C13" s="4" t="s">
        <v>48</v>
      </c>
      <c r="D13" s="4" t="s">
        <v>49</v>
      </c>
      <c r="E13" s="4" t="s">
        <v>50</v>
      </c>
      <c r="F13" s="4" t="s">
        <v>51</v>
      </c>
      <c r="G13" s="4" t="s">
        <v>52</v>
      </c>
      <c r="H13" s="4" t="s">
        <v>53</v>
      </c>
    </row>
    <row r="14" spans="1:8">
      <c r="A14" s="4"/>
      <c r="B14" s="4"/>
      <c r="C14" s="4"/>
      <c r="D14" s="4"/>
      <c r="E14" s="4"/>
      <c r="F14" s="4"/>
      <c r="G14" s="4"/>
      <c r="H14" s="4"/>
    </row>
    <row r="15" ht="14.55" spans="1:8">
      <c r="A15" s="12" t="s">
        <v>54</v>
      </c>
      <c r="B15" s="12"/>
      <c r="C15" s="12"/>
      <c r="D15" s="12"/>
      <c r="E15" s="12"/>
      <c r="F15" s="12"/>
      <c r="G15" s="12"/>
      <c r="H15" s="12"/>
    </row>
    <row r="16" spans="1:8">
      <c r="A16" s="8" t="s">
        <v>55</v>
      </c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4"/>
      <c r="B18" s="4"/>
      <c r="C18" s="4"/>
      <c r="D18" s="4"/>
      <c r="E18" s="4"/>
      <c r="F18" s="4"/>
      <c r="G18" s="4"/>
      <c r="H18" s="4"/>
    </row>
    <row r="19" ht="14.55" spans="1:8">
      <c r="A19" s="5" t="s">
        <v>56</v>
      </c>
      <c r="B19" s="5"/>
      <c r="C19" s="5"/>
      <c r="D19" s="5"/>
      <c r="E19" s="5"/>
      <c r="F19" s="5"/>
      <c r="G19" s="5"/>
      <c r="H19" s="5"/>
    </row>
    <row r="20" spans="1:8">
      <c r="A20" s="4" t="s">
        <v>57</v>
      </c>
      <c r="B20" s="4" t="s">
        <v>58</v>
      </c>
      <c r="C20" s="4" t="s">
        <v>59</v>
      </c>
      <c r="D20" s="4" t="s">
        <v>60</v>
      </c>
      <c r="E20" s="4" t="s">
        <v>61</v>
      </c>
      <c r="F20" s="4" t="s">
        <v>62</v>
      </c>
      <c r="G20" s="4" t="s">
        <v>63</v>
      </c>
      <c r="H20" s="4" t="s">
        <v>64</v>
      </c>
    </row>
    <row r="21" spans="1:8">
      <c r="A21" s="4" t="s">
        <v>65</v>
      </c>
      <c r="B21" s="4" t="s">
        <v>66</v>
      </c>
      <c r="C21" s="4" t="s">
        <v>15</v>
      </c>
      <c r="D21" s="4" t="s">
        <v>67</v>
      </c>
      <c r="E21" s="4" t="s">
        <v>17</v>
      </c>
      <c r="F21" s="4" t="s">
        <v>68</v>
      </c>
      <c r="G21" s="4" t="s">
        <v>69</v>
      </c>
      <c r="H21" s="4" t="s">
        <v>70</v>
      </c>
    </row>
    <row r="22" spans="1:8">
      <c r="A22" s="4" t="s">
        <v>71</v>
      </c>
      <c r="B22" s="4" t="s">
        <v>72</v>
      </c>
      <c r="C22" s="4" t="s">
        <v>73</v>
      </c>
      <c r="D22" s="4" t="s">
        <v>74</v>
      </c>
      <c r="E22" s="4" t="s">
        <v>75</v>
      </c>
      <c r="F22" s="4" t="s">
        <v>76</v>
      </c>
      <c r="G22" s="4" t="s">
        <v>77</v>
      </c>
      <c r="H22" s="4" t="s">
        <v>78</v>
      </c>
    </row>
  </sheetData>
  <mergeCells count="7">
    <mergeCell ref="A1:H1"/>
    <mergeCell ref="A2:H2"/>
    <mergeCell ref="A4:H4"/>
    <mergeCell ref="A10:H10"/>
    <mergeCell ref="A15:H15"/>
    <mergeCell ref="A19:H19"/>
    <mergeCell ref="A16:H17"/>
  </mergeCells>
  <printOptions horizontalCentered="1"/>
  <pageMargins left="0.25" right="0.25" top="0.4" bottom="0.4" header="0.3" footer="0.3"/>
  <pageSetup paperSize="11" scale="53" fitToHeight="0" orientation="landscape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"/>
  <sheetViews>
    <sheetView showGridLines="0" workbookViewId="0">
      <pane ySplit="3" topLeftCell="A4" activePane="bottomLeft" state="frozen"/>
      <selection/>
      <selection pane="bottomLeft" activeCell="E24" sqref="E24"/>
    </sheetView>
  </sheetViews>
  <sheetFormatPr defaultColWidth="9" defaultRowHeight="13.7"/>
  <cols>
    <col min="1" max="1" width="12.6416666666667" style="1" customWidth="1"/>
    <col min="2" max="2" width="29.6416666666667" style="1" customWidth="1"/>
    <col min="3" max="3" width="12.6416666666667" style="1" customWidth="1"/>
    <col min="4" max="4" width="28.6416666666667" style="1" customWidth="1"/>
    <col min="5" max="5" width="42.6416666666667" style="1" customWidth="1"/>
    <col min="6" max="6" width="38.6416666666667" style="1" customWidth="1"/>
    <col min="7" max="7" width="14.6416666666667" style="1" customWidth="1"/>
    <col min="8" max="8" width="29.6416666666667" style="1" customWidth="1"/>
    <col min="9" max="9" width="40.6416666666667" style="1" customWidth="1"/>
    <col min="10" max="16384" width="9.14166666666667" style="1"/>
  </cols>
  <sheetData>
    <row r="1" ht="14.55" spans="1:9">
      <c r="A1" s="2" t="s">
        <v>79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80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65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  <c r="G3" s="4" t="s">
        <v>86</v>
      </c>
      <c r="H3" s="4" t="s">
        <v>87</v>
      </c>
      <c r="I3" s="4" t="s">
        <v>88</v>
      </c>
    </row>
    <row r="4" spans="1:9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8" t="s">
        <v>95</v>
      </c>
      <c r="H4" s="4" t="s">
        <v>96</v>
      </c>
      <c r="I4" s="4" t="s">
        <v>97</v>
      </c>
    </row>
    <row r="5" ht="27.45" spans="1:9">
      <c r="A5" s="4" t="s">
        <v>98</v>
      </c>
      <c r="B5" s="4" t="s">
        <v>99</v>
      </c>
      <c r="C5" s="4" t="s">
        <v>100</v>
      </c>
      <c r="D5" s="4" t="s">
        <v>101</v>
      </c>
      <c r="E5" s="4" t="s">
        <v>102</v>
      </c>
      <c r="F5" s="4" t="s">
        <v>103</v>
      </c>
      <c r="G5" s="11" t="s">
        <v>104</v>
      </c>
      <c r="H5" s="4" t="s">
        <v>105</v>
      </c>
      <c r="I5" s="4" t="s">
        <v>106</v>
      </c>
    </row>
    <row r="6" spans="1:9">
      <c r="A6" s="4" t="s">
        <v>107</v>
      </c>
      <c r="B6" s="4" t="s">
        <v>108</v>
      </c>
      <c r="C6" s="4" t="s">
        <v>109</v>
      </c>
      <c r="D6" s="4" t="s">
        <v>110</v>
      </c>
      <c r="E6" s="4" t="s">
        <v>111</v>
      </c>
      <c r="F6" s="4" t="s">
        <v>112</v>
      </c>
      <c r="G6" s="8" t="s">
        <v>95</v>
      </c>
      <c r="H6" s="4" t="s">
        <v>113</v>
      </c>
      <c r="I6" s="4" t="s">
        <v>114</v>
      </c>
    </row>
    <row r="7" spans="1:9">
      <c r="A7" s="4" t="s">
        <v>29</v>
      </c>
      <c r="B7" s="4" t="s">
        <v>115</v>
      </c>
      <c r="C7" s="4" t="s">
        <v>109</v>
      </c>
      <c r="D7" s="4" t="s">
        <v>116</v>
      </c>
      <c r="E7" s="4" t="s">
        <v>117</v>
      </c>
      <c r="F7" s="4" t="s">
        <v>118</v>
      </c>
      <c r="G7" s="11" t="s">
        <v>104</v>
      </c>
      <c r="H7" s="4" t="s">
        <v>119</v>
      </c>
      <c r="I7" s="4" t="s">
        <v>120</v>
      </c>
    </row>
    <row r="8" spans="1:9">
      <c r="A8" s="4" t="s">
        <v>121</v>
      </c>
      <c r="B8" s="4" t="s">
        <v>122</v>
      </c>
      <c r="C8" s="4" t="s">
        <v>109</v>
      </c>
      <c r="D8" s="4" t="s">
        <v>123</v>
      </c>
      <c r="E8" s="4" t="s">
        <v>124</v>
      </c>
      <c r="F8" s="4" t="s">
        <v>118</v>
      </c>
      <c r="G8" s="11" t="s">
        <v>104</v>
      </c>
      <c r="H8" s="4" t="s">
        <v>125</v>
      </c>
      <c r="I8" s="4" t="s">
        <v>126</v>
      </c>
    </row>
    <row r="9" spans="1:9">
      <c r="A9" s="4" t="s">
        <v>127</v>
      </c>
      <c r="B9" s="4" t="s">
        <v>128</v>
      </c>
      <c r="C9" s="4" t="s">
        <v>129</v>
      </c>
      <c r="D9" s="4" t="s">
        <v>130</v>
      </c>
      <c r="E9" s="4" t="s">
        <v>111</v>
      </c>
      <c r="F9" s="4" t="s">
        <v>112</v>
      </c>
      <c r="G9" s="8" t="s">
        <v>95</v>
      </c>
      <c r="H9" s="4" t="s">
        <v>113</v>
      </c>
      <c r="I9" s="4" t="s">
        <v>131</v>
      </c>
    </row>
    <row r="10" spans="1:9">
      <c r="A10" s="4" t="s">
        <v>132</v>
      </c>
      <c r="B10" s="4" t="s">
        <v>133</v>
      </c>
      <c r="C10" s="4" t="s">
        <v>129</v>
      </c>
      <c r="D10" s="4" t="s">
        <v>134</v>
      </c>
      <c r="E10" s="4" t="s">
        <v>135</v>
      </c>
      <c r="F10" s="4" t="s">
        <v>118</v>
      </c>
      <c r="G10" s="11" t="s">
        <v>104</v>
      </c>
      <c r="H10" s="4" t="s">
        <v>119</v>
      </c>
      <c r="I10" s="4" t="s">
        <v>136</v>
      </c>
    </row>
    <row r="11" ht="27.45" spans="1:9">
      <c r="A11" s="4" t="s">
        <v>137</v>
      </c>
      <c r="B11" s="4" t="s">
        <v>138</v>
      </c>
      <c r="C11" s="4" t="s">
        <v>129</v>
      </c>
      <c r="D11" s="4" t="s">
        <v>139</v>
      </c>
      <c r="E11" s="4" t="s">
        <v>140</v>
      </c>
      <c r="F11" s="4" t="s">
        <v>141</v>
      </c>
      <c r="G11" s="8" t="s">
        <v>95</v>
      </c>
      <c r="H11" s="4" t="s">
        <v>113</v>
      </c>
      <c r="I11" s="4" t="s">
        <v>142</v>
      </c>
    </row>
    <row r="12" spans="1:9">
      <c r="A12" s="4" t="s">
        <v>143</v>
      </c>
      <c r="B12" s="4" t="s">
        <v>144</v>
      </c>
      <c r="C12" s="4" t="s">
        <v>145</v>
      </c>
      <c r="D12" s="4" t="s">
        <v>146</v>
      </c>
      <c r="E12" s="4" t="s">
        <v>147</v>
      </c>
      <c r="F12" s="4" t="s">
        <v>148</v>
      </c>
      <c r="G12" s="11" t="s">
        <v>104</v>
      </c>
      <c r="H12" s="4" t="s">
        <v>119</v>
      </c>
      <c r="I12" s="4" t="s">
        <v>149</v>
      </c>
    </row>
    <row r="13" ht="27.45" spans="1:9">
      <c r="A13" s="4" t="s">
        <v>150</v>
      </c>
      <c r="B13" s="4" t="s">
        <v>151</v>
      </c>
      <c r="C13" s="4" t="s">
        <v>145</v>
      </c>
      <c r="D13" s="4" t="s">
        <v>152</v>
      </c>
      <c r="E13" s="4" t="s">
        <v>153</v>
      </c>
      <c r="F13" s="4" t="s">
        <v>154</v>
      </c>
      <c r="G13" s="11" t="s">
        <v>104</v>
      </c>
      <c r="H13" s="4" t="s">
        <v>119</v>
      </c>
      <c r="I13" s="4" t="s">
        <v>155</v>
      </c>
    </row>
    <row r="14" ht="27.45" spans="1:9">
      <c r="A14" s="4" t="s">
        <v>156</v>
      </c>
      <c r="B14" s="4" t="s">
        <v>157</v>
      </c>
      <c r="C14" s="4" t="s">
        <v>158</v>
      </c>
      <c r="D14" s="4" t="s">
        <v>159</v>
      </c>
      <c r="E14" s="4" t="s">
        <v>160</v>
      </c>
      <c r="F14" s="4" t="s">
        <v>112</v>
      </c>
      <c r="G14" s="8" t="s">
        <v>95</v>
      </c>
      <c r="H14" s="4" t="s">
        <v>113</v>
      </c>
      <c r="I14" s="4" t="s">
        <v>161</v>
      </c>
    </row>
  </sheetData>
  <mergeCells count="2">
    <mergeCell ref="A1:I1"/>
    <mergeCell ref="A2:I2"/>
  </mergeCells>
  <printOptions horizontalCentered="1"/>
  <pageMargins left="0.25" right="0.25" top="0.4" bottom="0.4" header="0.3" footer="0.3"/>
  <pageSetup paperSize="11" scale="38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1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7" outlineLevelCol="7"/>
  <cols>
    <col min="1" max="1" width="12.6416666666667" style="1" customWidth="1"/>
    <col min="2" max="2" width="10.6416666666667" style="1" customWidth="1"/>
    <col min="3" max="3" width="20.6416666666667" style="1" customWidth="1"/>
    <col min="4" max="4" width="15.6416666666667" style="1" customWidth="1"/>
    <col min="5" max="5" width="24.6416666666667" style="1" customWidth="1"/>
    <col min="6" max="6" width="14.6416666666667" style="1" customWidth="1"/>
    <col min="7" max="7" width="34.6416666666667" style="1" customWidth="1"/>
    <col min="8" max="8" width="29.1416666666667" style="1" customWidth="1"/>
    <col min="9" max="16384" width="9.14166666666667" style="1"/>
  </cols>
  <sheetData>
    <row r="1" ht="14.55" spans="1:8">
      <c r="A1" s="2" t="s">
        <v>162</v>
      </c>
      <c r="B1" s="2"/>
      <c r="C1" s="2"/>
      <c r="D1" s="2"/>
      <c r="E1" s="2"/>
      <c r="F1" s="2"/>
      <c r="G1" s="2"/>
      <c r="H1" s="2"/>
    </row>
    <row r="2" spans="1:8">
      <c r="A2" s="3" t="s">
        <v>163</v>
      </c>
      <c r="B2" s="3"/>
      <c r="C2" s="3"/>
      <c r="D2" s="3"/>
      <c r="E2" s="3"/>
      <c r="F2" s="3"/>
      <c r="G2" s="3"/>
      <c r="H2" s="3"/>
    </row>
    <row r="3" spans="1:8">
      <c r="A3" s="4" t="s">
        <v>164</v>
      </c>
      <c r="B3" s="4" t="s">
        <v>165</v>
      </c>
      <c r="C3" s="4" t="s">
        <v>166</v>
      </c>
      <c r="D3" s="4" t="s">
        <v>167</v>
      </c>
      <c r="E3" s="4" t="s">
        <v>168</v>
      </c>
      <c r="F3" s="4" t="s">
        <v>4</v>
      </c>
      <c r="G3" s="4" t="s">
        <v>169</v>
      </c>
      <c r="H3" s="4" t="s">
        <v>88</v>
      </c>
    </row>
    <row r="4" ht="27.45" spans="1:8">
      <c r="A4" s="4" t="s">
        <v>170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  <c r="G4" s="4" t="s">
        <v>176</v>
      </c>
      <c r="H4" s="4" t="s">
        <v>177</v>
      </c>
    </row>
    <row r="5" ht="27.45" spans="1:8">
      <c r="A5" s="4" t="s">
        <v>178</v>
      </c>
      <c r="B5" s="4" t="s">
        <v>179</v>
      </c>
      <c r="C5" s="4" t="s">
        <v>180</v>
      </c>
      <c r="D5" s="4" t="s">
        <v>181</v>
      </c>
      <c r="E5" s="4" t="s">
        <v>182</v>
      </c>
      <c r="F5" s="4" t="s">
        <v>183</v>
      </c>
      <c r="G5" s="4" t="s">
        <v>184</v>
      </c>
      <c r="H5" s="4" t="s">
        <v>185</v>
      </c>
    </row>
    <row r="6" ht="41.15" spans="1:8">
      <c r="A6" s="4" t="s">
        <v>186</v>
      </c>
      <c r="B6" s="4" t="s">
        <v>187</v>
      </c>
      <c r="C6" s="4" t="s">
        <v>188</v>
      </c>
      <c r="D6" s="4" t="s">
        <v>189</v>
      </c>
      <c r="E6" s="4" t="s">
        <v>190</v>
      </c>
      <c r="F6" s="4" t="s">
        <v>191</v>
      </c>
      <c r="G6" s="4" t="s">
        <v>192</v>
      </c>
      <c r="H6" s="4" t="s">
        <v>193</v>
      </c>
    </row>
    <row r="7" spans="1:8">
      <c r="A7" s="4"/>
      <c r="B7" s="4"/>
      <c r="C7" s="4"/>
      <c r="D7" s="4"/>
      <c r="E7" s="4"/>
      <c r="F7" s="4"/>
      <c r="G7" s="4"/>
      <c r="H7" s="4"/>
    </row>
    <row r="8" ht="14.55" spans="1:8">
      <c r="A8" s="5" t="s">
        <v>194</v>
      </c>
      <c r="B8" s="5"/>
      <c r="C8" s="5"/>
      <c r="D8" s="5"/>
      <c r="E8" s="5"/>
      <c r="F8" s="5"/>
      <c r="G8" s="5"/>
      <c r="H8" s="5"/>
    </row>
    <row r="9" spans="1:8">
      <c r="A9" s="4" t="s">
        <v>195</v>
      </c>
      <c r="B9" s="4" t="s">
        <v>196</v>
      </c>
      <c r="C9" s="4" t="s">
        <v>197</v>
      </c>
      <c r="D9" s="4" t="s">
        <v>198</v>
      </c>
      <c r="E9" s="4" t="s">
        <v>199</v>
      </c>
      <c r="F9" s="4" t="s">
        <v>200</v>
      </c>
      <c r="G9" s="4" t="s">
        <v>167</v>
      </c>
      <c r="H9" s="4" t="s">
        <v>201</v>
      </c>
    </row>
    <row r="10" spans="1:8">
      <c r="A10" s="4">
        <v>0</v>
      </c>
      <c r="B10" s="4">
        <v>1</v>
      </c>
      <c r="C10" s="4" t="s">
        <v>202</v>
      </c>
      <c r="D10" s="4" t="s">
        <v>203</v>
      </c>
      <c r="E10" s="4" t="s">
        <v>204</v>
      </c>
      <c r="F10" s="4" t="s">
        <v>104</v>
      </c>
      <c r="G10" s="4" t="s">
        <v>205</v>
      </c>
      <c r="H10" s="4" t="s">
        <v>206</v>
      </c>
    </row>
    <row r="11" spans="1:8">
      <c r="A11" s="4">
        <v>1</v>
      </c>
      <c r="B11" s="4">
        <v>1</v>
      </c>
      <c r="C11" s="4" t="s">
        <v>207</v>
      </c>
      <c r="D11" s="4" t="s">
        <v>203</v>
      </c>
      <c r="E11" s="4" t="s">
        <v>208</v>
      </c>
      <c r="F11" s="4" t="s">
        <v>104</v>
      </c>
      <c r="G11" s="4" t="s">
        <v>205</v>
      </c>
      <c r="H11" s="4" t="s">
        <v>209</v>
      </c>
    </row>
    <row r="12" spans="1:8">
      <c r="A12" s="4">
        <v>2</v>
      </c>
      <c r="B12" s="4">
        <v>1</v>
      </c>
      <c r="C12" s="4" t="s">
        <v>210</v>
      </c>
      <c r="D12" s="4" t="s">
        <v>203</v>
      </c>
      <c r="E12" s="4" t="s">
        <v>211</v>
      </c>
      <c r="F12" s="4" t="s">
        <v>104</v>
      </c>
      <c r="G12" s="4" t="s">
        <v>212</v>
      </c>
      <c r="H12" s="4" t="s">
        <v>213</v>
      </c>
    </row>
    <row r="13" spans="1:8">
      <c r="A13" s="4">
        <v>3</v>
      </c>
      <c r="B13" s="4">
        <v>1</v>
      </c>
      <c r="C13" s="4" t="s">
        <v>214</v>
      </c>
      <c r="D13" s="4" t="s">
        <v>215</v>
      </c>
      <c r="E13" s="4" t="s">
        <v>216</v>
      </c>
      <c r="F13" s="4" t="s">
        <v>104</v>
      </c>
      <c r="G13" s="4" t="s">
        <v>217</v>
      </c>
      <c r="H13" s="4">
        <v>20</v>
      </c>
    </row>
    <row r="14" spans="1:8">
      <c r="A14" s="4">
        <v>4</v>
      </c>
      <c r="B14" s="4">
        <v>1</v>
      </c>
      <c r="C14" s="4" t="s">
        <v>218</v>
      </c>
      <c r="D14" s="4" t="s">
        <v>215</v>
      </c>
      <c r="E14" s="4" t="s">
        <v>219</v>
      </c>
      <c r="F14" s="4" t="s">
        <v>104</v>
      </c>
      <c r="G14" s="4" t="s">
        <v>220</v>
      </c>
      <c r="H14" s="4">
        <v>71</v>
      </c>
    </row>
    <row r="15" spans="1:8">
      <c r="A15" s="4" t="s">
        <v>221</v>
      </c>
      <c r="B15" s="4">
        <v>4</v>
      </c>
      <c r="C15" s="4" t="s">
        <v>222</v>
      </c>
      <c r="D15" s="4" t="s">
        <v>223</v>
      </c>
      <c r="E15" s="4" t="s">
        <v>224</v>
      </c>
      <c r="F15" s="4" t="s">
        <v>104</v>
      </c>
      <c r="G15" s="4" t="s">
        <v>225</v>
      </c>
      <c r="H15" s="4" t="s">
        <v>226</v>
      </c>
    </row>
    <row r="16" spans="1:8">
      <c r="A16" s="4" t="s">
        <v>227</v>
      </c>
      <c r="B16" s="4">
        <v>2</v>
      </c>
      <c r="C16" s="4" t="s">
        <v>228</v>
      </c>
      <c r="D16" s="4" t="s">
        <v>223</v>
      </c>
      <c r="E16" s="4" t="s">
        <v>229</v>
      </c>
      <c r="F16" s="4" t="s">
        <v>95</v>
      </c>
      <c r="G16" s="4" t="s">
        <v>230</v>
      </c>
      <c r="H16" s="4" t="s">
        <v>231</v>
      </c>
    </row>
    <row r="17" spans="1:8">
      <c r="A17" s="4" t="s">
        <v>232</v>
      </c>
      <c r="B17" s="4">
        <v>2</v>
      </c>
      <c r="C17" s="4" t="s">
        <v>190</v>
      </c>
      <c r="D17" s="4" t="s">
        <v>203</v>
      </c>
      <c r="E17" s="4" t="s">
        <v>191</v>
      </c>
      <c r="F17" s="4" t="s">
        <v>95</v>
      </c>
      <c r="G17" s="4" t="s">
        <v>233</v>
      </c>
      <c r="H17" s="4" t="s">
        <v>191</v>
      </c>
    </row>
    <row r="18" spans="1:8">
      <c r="A18" s="4"/>
      <c r="B18" s="4"/>
      <c r="C18" s="4"/>
      <c r="D18" s="4"/>
      <c r="E18" s="4"/>
      <c r="F18" s="4"/>
      <c r="G18" s="4"/>
      <c r="H18" s="4"/>
    </row>
    <row r="19" ht="14.55" spans="1:8">
      <c r="A19" s="5" t="s">
        <v>234</v>
      </c>
      <c r="B19" s="5"/>
      <c r="C19" s="5"/>
      <c r="D19" s="5"/>
      <c r="E19" s="5"/>
      <c r="F19" s="5"/>
      <c r="G19" s="5"/>
      <c r="H19" s="5"/>
    </row>
    <row r="20" spans="1:8">
      <c r="A20" s="4" t="s">
        <v>195</v>
      </c>
      <c r="B20" s="4" t="s">
        <v>196</v>
      </c>
      <c r="C20" s="4" t="s">
        <v>197</v>
      </c>
      <c r="D20" s="4" t="s">
        <v>198</v>
      </c>
      <c r="E20" s="4" t="s">
        <v>199</v>
      </c>
      <c r="F20" s="4" t="s">
        <v>200</v>
      </c>
      <c r="G20" s="4" t="s">
        <v>167</v>
      </c>
      <c r="H20" s="4" t="s">
        <v>201</v>
      </c>
    </row>
    <row r="21" spans="1:8">
      <c r="A21" s="4">
        <v>0</v>
      </c>
      <c r="B21" s="4">
        <v>1</v>
      </c>
      <c r="C21" s="4" t="s">
        <v>202</v>
      </c>
      <c r="D21" s="4" t="s">
        <v>203</v>
      </c>
      <c r="E21" s="4" t="s">
        <v>235</v>
      </c>
      <c r="F21" s="4" t="s">
        <v>104</v>
      </c>
      <c r="G21" s="4" t="s">
        <v>236</v>
      </c>
      <c r="H21" s="4" t="s">
        <v>237</v>
      </c>
    </row>
    <row r="22" spans="1:8">
      <c r="A22" s="4">
        <v>1</v>
      </c>
      <c r="B22" s="4">
        <v>1</v>
      </c>
      <c r="C22" s="4" t="s">
        <v>207</v>
      </c>
      <c r="D22" s="4" t="s">
        <v>203</v>
      </c>
      <c r="E22" s="4" t="s">
        <v>238</v>
      </c>
      <c r="F22" s="4" t="s">
        <v>104</v>
      </c>
      <c r="G22" s="4" t="s">
        <v>236</v>
      </c>
      <c r="H22" s="4" t="s">
        <v>239</v>
      </c>
    </row>
    <row r="23" spans="1:8">
      <c r="A23" s="4">
        <v>2</v>
      </c>
      <c r="B23" s="4">
        <v>1</v>
      </c>
      <c r="C23" s="4" t="s">
        <v>210</v>
      </c>
      <c r="D23" s="4" t="s">
        <v>203</v>
      </c>
      <c r="E23" s="4" t="s">
        <v>240</v>
      </c>
      <c r="F23" s="4" t="s">
        <v>104</v>
      </c>
      <c r="G23" s="4" t="s">
        <v>241</v>
      </c>
      <c r="H23" s="4" t="s">
        <v>242</v>
      </c>
    </row>
    <row r="24" spans="1:8">
      <c r="A24" s="4">
        <v>3</v>
      </c>
      <c r="B24" s="4">
        <v>1</v>
      </c>
      <c r="C24" s="4" t="s">
        <v>214</v>
      </c>
      <c r="D24" s="4" t="s">
        <v>215</v>
      </c>
      <c r="E24" s="4" t="s">
        <v>216</v>
      </c>
      <c r="F24" s="4" t="s">
        <v>104</v>
      </c>
      <c r="G24" s="4" t="s">
        <v>217</v>
      </c>
      <c r="H24" s="4">
        <v>10</v>
      </c>
    </row>
    <row r="25" spans="1:8">
      <c r="A25" s="4">
        <v>4</v>
      </c>
      <c r="B25" s="4">
        <v>1</v>
      </c>
      <c r="C25" s="4" t="s">
        <v>218</v>
      </c>
      <c r="D25" s="4" t="s">
        <v>215</v>
      </c>
      <c r="E25" s="4" t="s">
        <v>219</v>
      </c>
      <c r="F25" s="4" t="s">
        <v>104</v>
      </c>
      <c r="G25" s="4" t="s">
        <v>220</v>
      </c>
      <c r="H25" s="4">
        <v>60</v>
      </c>
    </row>
    <row r="26" spans="1:8">
      <c r="A26" s="4" t="s">
        <v>243</v>
      </c>
      <c r="B26" s="4">
        <v>2</v>
      </c>
      <c r="C26" s="4" t="s">
        <v>222</v>
      </c>
      <c r="D26" s="4" t="s">
        <v>223</v>
      </c>
      <c r="E26" s="4" t="s">
        <v>244</v>
      </c>
      <c r="F26" s="4" t="s">
        <v>104</v>
      </c>
      <c r="G26" s="4" t="s">
        <v>245</v>
      </c>
      <c r="H26" s="4" t="s">
        <v>246</v>
      </c>
    </row>
    <row r="27" spans="1:8">
      <c r="A27" s="4" t="s">
        <v>247</v>
      </c>
      <c r="B27" s="4">
        <v>2</v>
      </c>
      <c r="C27" s="4" t="s">
        <v>228</v>
      </c>
      <c r="D27" s="4" t="s">
        <v>223</v>
      </c>
      <c r="E27" s="4" t="s">
        <v>229</v>
      </c>
      <c r="F27" s="4" t="s">
        <v>95</v>
      </c>
      <c r="G27" s="4" t="s">
        <v>248</v>
      </c>
      <c r="H27" s="4" t="s">
        <v>231</v>
      </c>
    </row>
    <row r="28" spans="1:8">
      <c r="A28" s="4" t="s">
        <v>227</v>
      </c>
      <c r="B28" s="4">
        <v>2</v>
      </c>
      <c r="C28" s="4" t="s">
        <v>190</v>
      </c>
      <c r="D28" s="4" t="s">
        <v>203</v>
      </c>
      <c r="E28" s="4" t="s">
        <v>191</v>
      </c>
      <c r="F28" s="4" t="s">
        <v>95</v>
      </c>
      <c r="G28" s="4" t="s">
        <v>233</v>
      </c>
      <c r="H28" s="4" t="s">
        <v>191</v>
      </c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8" t="s">
        <v>249</v>
      </c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</sheetData>
  <mergeCells count="5">
    <mergeCell ref="A1:H1"/>
    <mergeCell ref="A2:H2"/>
    <mergeCell ref="A8:H8"/>
    <mergeCell ref="A19:H19"/>
    <mergeCell ref="A30:H31"/>
  </mergeCells>
  <printOptions horizontalCentered="1"/>
  <pageMargins left="0.25" right="0.25" top="0.4" bottom="0.4" header="0.3" footer="0.3"/>
  <pageSetup paperSize="11" scale="59" fitToHeight="0" orientation="landscape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6"/>
  <sheetViews>
    <sheetView showGridLines="0" workbookViewId="0">
      <pane ySplit="3" topLeftCell="A4" activePane="bottomLeft" state="frozen"/>
      <selection/>
      <selection pane="bottomLeft" activeCell="F33" sqref="F33"/>
    </sheetView>
  </sheetViews>
  <sheetFormatPr defaultColWidth="9" defaultRowHeight="13.7" outlineLevelCol="7"/>
  <cols>
    <col min="1" max="1" width="15.6416666666667" style="1" customWidth="1"/>
    <col min="2" max="2" width="12.6416666666667" style="1" customWidth="1"/>
    <col min="3" max="3" width="13.6416666666667" style="1" customWidth="1"/>
    <col min="4" max="4" width="19.6416666666667" style="1" customWidth="1"/>
    <col min="5" max="5" width="22.6416666666667" style="1" customWidth="1"/>
    <col min="6" max="6" width="44.6416666666667" style="1" customWidth="1"/>
    <col min="7" max="7" width="34.6416666666667" style="1" customWidth="1"/>
    <col min="8" max="8" width="38.6416666666667" style="1" customWidth="1"/>
    <col min="9" max="16384" width="9.14166666666667" style="1"/>
  </cols>
  <sheetData>
    <row r="1" ht="14.55" spans="1:8">
      <c r="A1" s="2" t="s">
        <v>250</v>
      </c>
      <c r="B1" s="2"/>
      <c r="C1" s="2"/>
      <c r="D1" s="2"/>
      <c r="E1" s="2"/>
      <c r="F1" s="2"/>
      <c r="G1" s="2"/>
      <c r="H1" s="2"/>
    </row>
    <row r="2" spans="1:8">
      <c r="A2" s="3" t="s">
        <v>251</v>
      </c>
      <c r="B2" s="3"/>
      <c r="C2" s="3"/>
      <c r="D2" s="3"/>
      <c r="E2" s="3"/>
      <c r="F2" s="3"/>
      <c r="G2" s="3"/>
      <c r="H2" s="3"/>
    </row>
    <row r="3" spans="1:8">
      <c r="A3" s="4" t="s">
        <v>252</v>
      </c>
      <c r="B3" s="4" t="s">
        <v>253</v>
      </c>
      <c r="C3" s="4" t="s">
        <v>254</v>
      </c>
      <c r="D3" s="4" t="s">
        <v>222</v>
      </c>
      <c r="E3" s="4" t="s">
        <v>255</v>
      </c>
      <c r="F3" s="4" t="s">
        <v>256</v>
      </c>
      <c r="G3" s="4" t="s">
        <v>257</v>
      </c>
      <c r="H3" s="4" t="s">
        <v>88</v>
      </c>
    </row>
    <row r="4" spans="1:8">
      <c r="A4" s="4" t="s">
        <v>258</v>
      </c>
      <c r="B4" s="10" t="s">
        <v>259</v>
      </c>
      <c r="C4" s="4" t="s">
        <v>165</v>
      </c>
      <c r="D4" s="4" t="s">
        <v>260</v>
      </c>
      <c r="E4" s="4" t="s">
        <v>203</v>
      </c>
      <c r="F4" s="4" t="s">
        <v>261</v>
      </c>
      <c r="G4" s="4" t="s">
        <v>262</v>
      </c>
      <c r="H4" s="4" t="s">
        <v>263</v>
      </c>
    </row>
    <row r="5" spans="1:8">
      <c r="A5" s="4" t="s">
        <v>258</v>
      </c>
      <c r="B5" s="10" t="s">
        <v>264</v>
      </c>
      <c r="C5" s="4" t="s">
        <v>165</v>
      </c>
      <c r="D5" s="4" t="s">
        <v>260</v>
      </c>
      <c r="E5" s="4" t="s">
        <v>203</v>
      </c>
      <c r="F5" s="4" t="s">
        <v>265</v>
      </c>
      <c r="G5" s="4" t="s">
        <v>203</v>
      </c>
      <c r="H5" s="4" t="s">
        <v>266</v>
      </c>
    </row>
    <row r="6" spans="1:8">
      <c r="A6" s="4" t="s">
        <v>258</v>
      </c>
      <c r="B6" s="10" t="s">
        <v>267</v>
      </c>
      <c r="C6" s="4" t="s">
        <v>165</v>
      </c>
      <c r="D6" s="4" t="s">
        <v>268</v>
      </c>
      <c r="E6" s="4" t="s">
        <v>269</v>
      </c>
      <c r="F6" s="4" t="s">
        <v>270</v>
      </c>
      <c r="G6" s="4" t="s">
        <v>203</v>
      </c>
      <c r="H6" s="4" t="s">
        <v>271</v>
      </c>
    </row>
    <row r="7" spans="1:8">
      <c r="A7" s="4" t="s">
        <v>258</v>
      </c>
      <c r="B7" s="10" t="s">
        <v>272</v>
      </c>
      <c r="C7" s="4" t="s">
        <v>165</v>
      </c>
      <c r="D7" s="4" t="s">
        <v>268</v>
      </c>
      <c r="E7" s="4" t="s">
        <v>269</v>
      </c>
      <c r="F7" s="4" t="s">
        <v>273</v>
      </c>
      <c r="G7" s="4" t="s">
        <v>203</v>
      </c>
      <c r="H7" s="4" t="s">
        <v>274</v>
      </c>
    </row>
    <row r="8" spans="1:8">
      <c r="A8" s="4" t="s">
        <v>258</v>
      </c>
      <c r="B8" s="10" t="s">
        <v>275</v>
      </c>
      <c r="C8" s="4" t="s">
        <v>165</v>
      </c>
      <c r="D8" s="4" t="s">
        <v>260</v>
      </c>
      <c r="E8" s="4" t="s">
        <v>203</v>
      </c>
      <c r="F8" s="4" t="s">
        <v>276</v>
      </c>
      <c r="G8" s="4" t="s">
        <v>277</v>
      </c>
      <c r="H8" s="4" t="s">
        <v>278</v>
      </c>
    </row>
    <row r="9" spans="1:8">
      <c r="A9" s="4" t="s">
        <v>258</v>
      </c>
      <c r="B9" s="10" t="s">
        <v>279</v>
      </c>
      <c r="C9" s="4" t="s">
        <v>165</v>
      </c>
      <c r="D9" s="4" t="s">
        <v>260</v>
      </c>
      <c r="E9" s="4" t="s">
        <v>203</v>
      </c>
      <c r="F9" s="4" t="s">
        <v>280</v>
      </c>
      <c r="G9" s="4" t="s">
        <v>277</v>
      </c>
      <c r="H9" s="4" t="s">
        <v>278</v>
      </c>
    </row>
    <row r="10" spans="1:8">
      <c r="A10" s="4" t="s">
        <v>258</v>
      </c>
      <c r="B10" s="10" t="s">
        <v>281</v>
      </c>
      <c r="C10" s="4" t="s">
        <v>165</v>
      </c>
      <c r="D10" s="4" t="s">
        <v>260</v>
      </c>
      <c r="E10" s="4" t="s">
        <v>203</v>
      </c>
      <c r="F10" s="4" t="s">
        <v>282</v>
      </c>
      <c r="G10" s="4" t="s">
        <v>277</v>
      </c>
      <c r="H10" s="4" t="s">
        <v>278</v>
      </c>
    </row>
    <row r="11" spans="1:8">
      <c r="A11" s="4" t="s">
        <v>258</v>
      </c>
      <c r="B11" s="10" t="s">
        <v>283</v>
      </c>
      <c r="C11" s="4" t="s">
        <v>165</v>
      </c>
      <c r="D11" s="4" t="s">
        <v>260</v>
      </c>
      <c r="E11" s="4" t="s">
        <v>203</v>
      </c>
      <c r="F11" s="4" t="s">
        <v>284</v>
      </c>
      <c r="G11" s="4" t="s">
        <v>285</v>
      </c>
      <c r="H11" s="4" t="s">
        <v>286</v>
      </c>
    </row>
    <row r="12" spans="1:8">
      <c r="A12" s="4" t="s">
        <v>258</v>
      </c>
      <c r="B12" s="10" t="s">
        <v>287</v>
      </c>
      <c r="C12" s="4" t="s">
        <v>165</v>
      </c>
      <c r="D12" s="4" t="s">
        <v>260</v>
      </c>
      <c r="E12" s="4" t="s">
        <v>203</v>
      </c>
      <c r="F12" s="4" t="s">
        <v>284</v>
      </c>
      <c r="G12" s="4" t="s">
        <v>285</v>
      </c>
      <c r="H12" s="4" t="s">
        <v>286</v>
      </c>
    </row>
    <row r="13" spans="1:8">
      <c r="A13" s="4" t="s">
        <v>258</v>
      </c>
      <c r="B13" s="10" t="s">
        <v>288</v>
      </c>
      <c r="C13" s="4" t="s">
        <v>165</v>
      </c>
      <c r="D13" s="4" t="s">
        <v>260</v>
      </c>
      <c r="E13" s="4" t="s">
        <v>203</v>
      </c>
      <c r="F13" s="4" t="s">
        <v>284</v>
      </c>
      <c r="G13" s="4" t="s">
        <v>285</v>
      </c>
      <c r="H13" s="4" t="s">
        <v>286</v>
      </c>
    </row>
    <row r="14" spans="1:8">
      <c r="A14" s="4" t="s">
        <v>258</v>
      </c>
      <c r="B14" s="10" t="s">
        <v>289</v>
      </c>
      <c r="C14" s="4" t="s">
        <v>165</v>
      </c>
      <c r="D14" s="4" t="s">
        <v>260</v>
      </c>
      <c r="E14" s="4" t="s">
        <v>203</v>
      </c>
      <c r="F14" s="4" t="s">
        <v>290</v>
      </c>
      <c r="G14" s="4" t="s">
        <v>291</v>
      </c>
      <c r="H14" s="4" t="s">
        <v>292</v>
      </c>
    </row>
    <row r="15" spans="1:8">
      <c r="A15" s="4" t="s">
        <v>258</v>
      </c>
      <c r="B15" s="10" t="s">
        <v>293</v>
      </c>
      <c r="C15" s="4" t="s">
        <v>165</v>
      </c>
      <c r="D15" s="4" t="s">
        <v>268</v>
      </c>
      <c r="E15" s="4" t="s">
        <v>203</v>
      </c>
      <c r="F15" s="4" t="s">
        <v>294</v>
      </c>
      <c r="G15" s="4" t="s">
        <v>203</v>
      </c>
      <c r="H15" s="4" t="s">
        <v>295</v>
      </c>
    </row>
    <row r="16" spans="1:8">
      <c r="A16" s="4" t="s">
        <v>258</v>
      </c>
      <c r="B16" s="10" t="s">
        <v>296</v>
      </c>
      <c r="C16" s="4" t="s">
        <v>165</v>
      </c>
      <c r="D16" s="4" t="s">
        <v>268</v>
      </c>
      <c r="E16" s="4" t="s">
        <v>203</v>
      </c>
      <c r="F16" s="4" t="s">
        <v>294</v>
      </c>
      <c r="G16" s="4" t="s">
        <v>203</v>
      </c>
      <c r="H16" s="4" t="s">
        <v>295</v>
      </c>
    </row>
    <row r="17" spans="1:8">
      <c r="A17" s="4" t="s">
        <v>258</v>
      </c>
      <c r="B17" s="10" t="s">
        <v>297</v>
      </c>
      <c r="C17" s="4" t="s">
        <v>165</v>
      </c>
      <c r="D17" s="4" t="s">
        <v>268</v>
      </c>
      <c r="E17" s="4" t="s">
        <v>298</v>
      </c>
      <c r="F17" s="4" t="s">
        <v>299</v>
      </c>
      <c r="G17" s="4" t="s">
        <v>300</v>
      </c>
      <c r="H17" s="4" t="s">
        <v>301</v>
      </c>
    </row>
    <row r="18" spans="1:8">
      <c r="A18" s="4" t="s">
        <v>258</v>
      </c>
      <c r="B18" s="10" t="s">
        <v>302</v>
      </c>
      <c r="C18" s="4" t="s">
        <v>165</v>
      </c>
      <c r="D18" s="4" t="s">
        <v>268</v>
      </c>
      <c r="E18" s="4" t="s">
        <v>298</v>
      </c>
      <c r="F18" s="4" t="s">
        <v>303</v>
      </c>
      <c r="G18" s="4" t="s">
        <v>300</v>
      </c>
      <c r="H18" s="4" t="s">
        <v>304</v>
      </c>
    </row>
    <row r="19" spans="1:8">
      <c r="A19" s="4" t="s">
        <v>258</v>
      </c>
      <c r="B19" s="10" t="s">
        <v>305</v>
      </c>
      <c r="C19" s="4" t="s">
        <v>165</v>
      </c>
      <c r="D19" s="4" t="s">
        <v>260</v>
      </c>
      <c r="E19" s="4" t="s">
        <v>203</v>
      </c>
      <c r="F19" s="4" t="s">
        <v>306</v>
      </c>
      <c r="G19" s="4" t="s">
        <v>307</v>
      </c>
      <c r="H19" s="4" t="s">
        <v>308</v>
      </c>
    </row>
    <row r="20" spans="1:8">
      <c r="A20" s="4" t="s">
        <v>258</v>
      </c>
      <c r="B20" s="10" t="s">
        <v>309</v>
      </c>
      <c r="C20" s="4" t="s">
        <v>166</v>
      </c>
      <c r="D20" s="4" t="s">
        <v>244</v>
      </c>
      <c r="E20" s="4" t="s">
        <v>310</v>
      </c>
      <c r="F20" s="4" t="s">
        <v>311</v>
      </c>
      <c r="G20" s="4" t="s">
        <v>312</v>
      </c>
      <c r="H20" s="4" t="s">
        <v>313</v>
      </c>
    </row>
    <row r="21" ht="27.45" spans="1:8">
      <c r="A21" s="4" t="s">
        <v>258</v>
      </c>
      <c r="B21" s="10" t="s">
        <v>314</v>
      </c>
      <c r="C21" s="4" t="s">
        <v>166</v>
      </c>
      <c r="D21" s="4" t="s">
        <v>244</v>
      </c>
      <c r="E21" s="4" t="s">
        <v>310</v>
      </c>
      <c r="F21" s="4" t="s">
        <v>315</v>
      </c>
      <c r="G21" s="4" t="s">
        <v>316</v>
      </c>
      <c r="H21" s="4" t="s">
        <v>317</v>
      </c>
    </row>
    <row r="22" spans="1:8">
      <c r="A22" s="4" t="s">
        <v>258</v>
      </c>
      <c r="B22" s="10" t="s">
        <v>318</v>
      </c>
      <c r="C22" s="4" t="s">
        <v>166</v>
      </c>
      <c r="D22" s="4" t="s">
        <v>244</v>
      </c>
      <c r="E22" s="4" t="s">
        <v>319</v>
      </c>
      <c r="F22" s="4" t="s">
        <v>320</v>
      </c>
      <c r="G22" s="4" t="s">
        <v>321</v>
      </c>
      <c r="H22" s="4" t="s">
        <v>322</v>
      </c>
    </row>
    <row r="23" spans="1:8">
      <c r="A23" s="4" t="s">
        <v>258</v>
      </c>
      <c r="B23" s="10" t="s">
        <v>275</v>
      </c>
      <c r="C23" s="4" t="s">
        <v>166</v>
      </c>
      <c r="D23" s="4" t="s">
        <v>244</v>
      </c>
      <c r="E23" s="4" t="s">
        <v>319</v>
      </c>
      <c r="F23" s="4" t="s">
        <v>323</v>
      </c>
      <c r="G23" s="4" t="s">
        <v>324</v>
      </c>
      <c r="H23" s="4" t="s">
        <v>325</v>
      </c>
    </row>
    <row r="24" spans="1:8">
      <c r="A24" s="4" t="s">
        <v>258</v>
      </c>
      <c r="B24" s="10" t="s">
        <v>264</v>
      </c>
      <c r="C24" s="4" t="s">
        <v>166</v>
      </c>
      <c r="D24" s="4" t="s">
        <v>244</v>
      </c>
      <c r="E24" s="4" t="s">
        <v>298</v>
      </c>
      <c r="F24" s="4" t="s">
        <v>326</v>
      </c>
      <c r="G24" s="4" t="s">
        <v>327</v>
      </c>
      <c r="H24" s="4" t="s">
        <v>328</v>
      </c>
    </row>
    <row r="25" spans="1:8">
      <c r="A25" s="4" t="s">
        <v>258</v>
      </c>
      <c r="B25" s="10" t="s">
        <v>329</v>
      </c>
      <c r="C25" s="4" t="s">
        <v>166</v>
      </c>
      <c r="D25" s="4" t="s">
        <v>244</v>
      </c>
      <c r="E25" s="4" t="s">
        <v>330</v>
      </c>
      <c r="F25" s="4" t="s">
        <v>331</v>
      </c>
      <c r="G25" s="4" t="s">
        <v>332</v>
      </c>
      <c r="H25" s="4" t="s">
        <v>333</v>
      </c>
    </row>
    <row r="26" spans="1:8">
      <c r="A26" s="4" t="s">
        <v>258</v>
      </c>
      <c r="B26" s="10" t="s">
        <v>334</v>
      </c>
      <c r="C26" s="4" t="s">
        <v>166</v>
      </c>
      <c r="D26" s="4" t="s">
        <v>335</v>
      </c>
      <c r="E26" s="4" t="s">
        <v>203</v>
      </c>
      <c r="F26" s="4" t="s">
        <v>336</v>
      </c>
      <c r="G26" s="4" t="s">
        <v>337</v>
      </c>
      <c r="H26" s="4" t="s">
        <v>338</v>
      </c>
    </row>
    <row r="27" spans="1:8">
      <c r="A27" s="4" t="s">
        <v>258</v>
      </c>
      <c r="B27" s="10" t="s">
        <v>339</v>
      </c>
      <c r="C27" s="4" t="s">
        <v>166</v>
      </c>
      <c r="D27" s="4" t="s">
        <v>335</v>
      </c>
      <c r="E27" s="4" t="s">
        <v>203</v>
      </c>
      <c r="F27" s="4" t="s">
        <v>340</v>
      </c>
      <c r="G27" s="4" t="s">
        <v>337</v>
      </c>
      <c r="H27" s="4" t="s">
        <v>341</v>
      </c>
    </row>
    <row r="28" spans="1:8">
      <c r="A28" s="4" t="s">
        <v>258</v>
      </c>
      <c r="B28" s="10" t="s">
        <v>342</v>
      </c>
      <c r="C28" s="4" t="s">
        <v>166</v>
      </c>
      <c r="D28" s="4" t="s">
        <v>244</v>
      </c>
      <c r="E28" s="4" t="s">
        <v>343</v>
      </c>
      <c r="F28" s="4" t="s">
        <v>344</v>
      </c>
      <c r="G28" s="4" t="s">
        <v>345</v>
      </c>
      <c r="H28" s="4" t="s">
        <v>346</v>
      </c>
    </row>
    <row r="29" spans="1:8">
      <c r="A29" s="4" t="s">
        <v>347</v>
      </c>
      <c r="B29" s="10" t="s">
        <v>348</v>
      </c>
      <c r="C29" s="4" t="s">
        <v>165</v>
      </c>
      <c r="D29" s="4" t="s">
        <v>268</v>
      </c>
      <c r="E29" s="4" t="s">
        <v>349</v>
      </c>
      <c r="F29" s="4" t="s">
        <v>350</v>
      </c>
      <c r="G29" s="4" t="s">
        <v>203</v>
      </c>
      <c r="H29" s="4" t="s">
        <v>351</v>
      </c>
    </row>
    <row r="30" spans="1:8">
      <c r="A30" s="4" t="s">
        <v>347</v>
      </c>
      <c r="B30" s="10" t="s">
        <v>352</v>
      </c>
      <c r="C30" s="4" t="s">
        <v>165</v>
      </c>
      <c r="D30" s="4" t="s">
        <v>268</v>
      </c>
      <c r="E30" s="4" t="s">
        <v>349</v>
      </c>
      <c r="F30" s="4" t="s">
        <v>353</v>
      </c>
      <c r="G30" s="4" t="s">
        <v>203</v>
      </c>
      <c r="H30" s="4" t="s">
        <v>351</v>
      </c>
    </row>
    <row r="31" spans="1:8">
      <c r="A31" s="4" t="s">
        <v>347</v>
      </c>
      <c r="B31" s="10" t="s">
        <v>354</v>
      </c>
      <c r="C31" s="4" t="s">
        <v>165</v>
      </c>
      <c r="D31" s="4" t="s">
        <v>268</v>
      </c>
      <c r="E31" s="4" t="s">
        <v>355</v>
      </c>
      <c r="F31" s="4" t="s">
        <v>356</v>
      </c>
      <c r="G31" s="4" t="s">
        <v>203</v>
      </c>
      <c r="H31" s="4" t="s">
        <v>357</v>
      </c>
    </row>
    <row r="32" spans="1:8">
      <c r="A32" s="4" t="s">
        <v>347</v>
      </c>
      <c r="B32" s="10" t="s">
        <v>358</v>
      </c>
      <c r="C32" s="4" t="s">
        <v>165</v>
      </c>
      <c r="D32" s="4" t="s">
        <v>268</v>
      </c>
      <c r="E32" s="4" t="s">
        <v>355</v>
      </c>
      <c r="F32" s="4" t="s">
        <v>359</v>
      </c>
      <c r="G32" s="4" t="s">
        <v>203</v>
      </c>
      <c r="H32" s="4" t="s">
        <v>357</v>
      </c>
    </row>
    <row r="33" spans="1:8">
      <c r="A33" s="4" t="s">
        <v>347</v>
      </c>
      <c r="B33" s="10" t="s">
        <v>360</v>
      </c>
      <c r="C33" s="4" t="s">
        <v>165</v>
      </c>
      <c r="D33" s="4" t="s">
        <v>268</v>
      </c>
      <c r="E33" s="4" t="s">
        <v>361</v>
      </c>
      <c r="F33" s="4" t="s">
        <v>362</v>
      </c>
      <c r="G33" s="4" t="s">
        <v>203</v>
      </c>
      <c r="H33" s="4" t="s">
        <v>363</v>
      </c>
    </row>
    <row r="34" spans="1:8">
      <c r="A34" s="4" t="s">
        <v>347</v>
      </c>
      <c r="B34" s="10" t="s">
        <v>364</v>
      </c>
      <c r="C34" s="4" t="s">
        <v>165</v>
      </c>
      <c r="D34" s="4" t="s">
        <v>365</v>
      </c>
      <c r="E34" s="4" t="s">
        <v>203</v>
      </c>
      <c r="F34" s="4" t="s">
        <v>366</v>
      </c>
      <c r="G34" s="4" t="s">
        <v>203</v>
      </c>
      <c r="H34" s="4" t="s">
        <v>367</v>
      </c>
    </row>
    <row r="35" spans="1:8">
      <c r="A35" s="4" t="s">
        <v>347</v>
      </c>
      <c r="B35" s="10" t="s">
        <v>368</v>
      </c>
      <c r="C35" s="4" t="s">
        <v>165</v>
      </c>
      <c r="D35" s="4" t="s">
        <v>365</v>
      </c>
      <c r="E35" s="4" t="s">
        <v>203</v>
      </c>
      <c r="F35" s="4" t="s">
        <v>369</v>
      </c>
      <c r="G35" s="4" t="s">
        <v>203</v>
      </c>
      <c r="H35" s="4" t="s">
        <v>370</v>
      </c>
    </row>
    <row r="36" spans="1:8">
      <c r="A36" s="4" t="s">
        <v>347</v>
      </c>
      <c r="B36" s="10" t="s">
        <v>371</v>
      </c>
      <c r="C36" s="4" t="s">
        <v>165</v>
      </c>
      <c r="D36" s="4" t="s">
        <v>372</v>
      </c>
      <c r="E36" s="4" t="s">
        <v>373</v>
      </c>
      <c r="F36" s="4" t="s">
        <v>374</v>
      </c>
      <c r="G36" s="4" t="s">
        <v>203</v>
      </c>
      <c r="H36" s="4" t="s">
        <v>375</v>
      </c>
    </row>
    <row r="37" spans="1:8">
      <c r="A37" s="4" t="s">
        <v>347</v>
      </c>
      <c r="B37" s="10" t="s">
        <v>376</v>
      </c>
      <c r="C37" s="4" t="s">
        <v>165</v>
      </c>
      <c r="D37" s="4" t="s">
        <v>365</v>
      </c>
      <c r="E37" s="4" t="s">
        <v>203</v>
      </c>
      <c r="F37" s="4" t="s">
        <v>377</v>
      </c>
      <c r="G37" s="4" t="s">
        <v>203</v>
      </c>
      <c r="H37" s="4" t="s">
        <v>367</v>
      </c>
    </row>
    <row r="38" spans="1:8">
      <c r="A38" s="4" t="s">
        <v>347</v>
      </c>
      <c r="B38" s="10" t="s">
        <v>378</v>
      </c>
      <c r="C38" s="4" t="s">
        <v>165</v>
      </c>
      <c r="D38" s="4" t="s">
        <v>365</v>
      </c>
      <c r="E38" s="4" t="s">
        <v>203</v>
      </c>
      <c r="F38" s="4" t="s">
        <v>379</v>
      </c>
      <c r="G38" s="4" t="s">
        <v>203</v>
      </c>
      <c r="H38" s="4" t="s">
        <v>380</v>
      </c>
    </row>
    <row r="39" spans="1:8">
      <c r="A39" s="4" t="s">
        <v>347</v>
      </c>
      <c r="B39" s="10" t="s">
        <v>381</v>
      </c>
      <c r="C39" s="4" t="s">
        <v>165</v>
      </c>
      <c r="D39" s="4" t="s">
        <v>372</v>
      </c>
      <c r="E39" s="4" t="s">
        <v>382</v>
      </c>
      <c r="F39" s="4" t="s">
        <v>383</v>
      </c>
      <c r="G39" s="4" t="s">
        <v>203</v>
      </c>
      <c r="H39" s="4" t="s">
        <v>384</v>
      </c>
    </row>
    <row r="40" spans="1:8">
      <c r="A40" s="4" t="s">
        <v>347</v>
      </c>
      <c r="B40" s="10" t="s">
        <v>385</v>
      </c>
      <c r="C40" s="4" t="s">
        <v>165</v>
      </c>
      <c r="D40" s="4" t="s">
        <v>386</v>
      </c>
      <c r="E40" s="4" t="s">
        <v>387</v>
      </c>
      <c r="F40" s="4" t="s">
        <v>388</v>
      </c>
      <c r="G40" s="4" t="s">
        <v>389</v>
      </c>
      <c r="H40" s="4" t="s">
        <v>390</v>
      </c>
    </row>
    <row r="41" spans="1:8">
      <c r="A41" s="4" t="s">
        <v>347</v>
      </c>
      <c r="B41" s="10" t="s">
        <v>391</v>
      </c>
      <c r="C41" s="4" t="s">
        <v>165</v>
      </c>
      <c r="D41" s="4" t="s">
        <v>386</v>
      </c>
      <c r="E41" s="4">
        <v>20260828</v>
      </c>
      <c r="F41" s="4" t="s">
        <v>392</v>
      </c>
      <c r="G41" s="4" t="s">
        <v>393</v>
      </c>
      <c r="H41" s="4" t="s">
        <v>394</v>
      </c>
    </row>
    <row r="42" spans="1:8">
      <c r="A42" s="4" t="s">
        <v>347</v>
      </c>
      <c r="B42" s="10" t="s">
        <v>395</v>
      </c>
      <c r="C42" s="4" t="s">
        <v>166</v>
      </c>
      <c r="D42" s="4" t="s">
        <v>244</v>
      </c>
      <c r="E42" s="4" t="s">
        <v>396</v>
      </c>
      <c r="F42" s="4" t="s">
        <v>397</v>
      </c>
      <c r="G42" s="4" t="s">
        <v>398</v>
      </c>
      <c r="H42" s="4" t="s">
        <v>399</v>
      </c>
    </row>
    <row r="43" spans="1:8">
      <c r="A43" s="4" t="s">
        <v>347</v>
      </c>
      <c r="B43" s="10" t="s">
        <v>400</v>
      </c>
      <c r="C43" s="4" t="s">
        <v>166</v>
      </c>
      <c r="D43" s="4" t="s">
        <v>244</v>
      </c>
      <c r="E43" s="4" t="s">
        <v>396</v>
      </c>
      <c r="F43" s="4" t="s">
        <v>401</v>
      </c>
      <c r="G43" s="4" t="s">
        <v>402</v>
      </c>
      <c r="H43" s="4" t="s">
        <v>403</v>
      </c>
    </row>
    <row r="44" spans="1:8">
      <c r="A44" s="4" t="s">
        <v>347</v>
      </c>
      <c r="B44" s="10" t="s">
        <v>404</v>
      </c>
      <c r="C44" s="4" t="s">
        <v>166</v>
      </c>
      <c r="D44" s="4" t="s">
        <v>244</v>
      </c>
      <c r="E44" s="4" t="s">
        <v>396</v>
      </c>
      <c r="F44" s="4" t="s">
        <v>405</v>
      </c>
      <c r="G44" s="4" t="s">
        <v>406</v>
      </c>
      <c r="H44" s="4" t="s">
        <v>407</v>
      </c>
    </row>
    <row r="45" spans="1:8">
      <c r="A45" s="4" t="s">
        <v>347</v>
      </c>
      <c r="B45" s="10" t="s">
        <v>408</v>
      </c>
      <c r="C45" s="4" t="s">
        <v>166</v>
      </c>
      <c r="D45" s="4" t="s">
        <v>244</v>
      </c>
      <c r="E45" s="4" t="s">
        <v>409</v>
      </c>
      <c r="F45" s="4" t="s">
        <v>410</v>
      </c>
      <c r="G45" s="4" t="s">
        <v>411</v>
      </c>
      <c r="H45" s="4" t="s">
        <v>412</v>
      </c>
    </row>
    <row r="46" spans="1:8">
      <c r="A46" s="4" t="s">
        <v>347</v>
      </c>
      <c r="B46" s="10" t="s">
        <v>413</v>
      </c>
      <c r="C46" s="4" t="s">
        <v>166</v>
      </c>
      <c r="D46" s="4" t="s">
        <v>244</v>
      </c>
      <c r="E46" s="4" t="s">
        <v>355</v>
      </c>
      <c r="F46" s="4" t="s">
        <v>414</v>
      </c>
      <c r="G46" s="4" t="s">
        <v>415</v>
      </c>
      <c r="H46" s="4" t="s">
        <v>416</v>
      </c>
    </row>
    <row r="47" spans="1:8">
      <c r="A47" s="4" t="s">
        <v>347</v>
      </c>
      <c r="B47" s="10" t="s">
        <v>417</v>
      </c>
      <c r="C47" s="4" t="s">
        <v>166</v>
      </c>
      <c r="D47" s="4" t="s">
        <v>244</v>
      </c>
      <c r="E47" s="4" t="s">
        <v>418</v>
      </c>
      <c r="F47" s="4" t="s">
        <v>419</v>
      </c>
      <c r="G47" s="4" t="s">
        <v>415</v>
      </c>
      <c r="H47" s="4" t="s">
        <v>420</v>
      </c>
    </row>
    <row r="48" spans="1:8">
      <c r="A48" s="4" t="s">
        <v>347</v>
      </c>
      <c r="B48" s="10" t="s">
        <v>421</v>
      </c>
      <c r="C48" s="4" t="s">
        <v>166</v>
      </c>
      <c r="D48" s="4" t="s">
        <v>244</v>
      </c>
      <c r="E48" s="4" t="s">
        <v>422</v>
      </c>
      <c r="F48" s="4" t="s">
        <v>423</v>
      </c>
      <c r="G48" s="4" t="s">
        <v>415</v>
      </c>
      <c r="H48" s="4" t="s">
        <v>424</v>
      </c>
    </row>
    <row r="49" spans="1:8">
      <c r="A49" s="4" t="s">
        <v>347</v>
      </c>
      <c r="B49" s="10" t="s">
        <v>425</v>
      </c>
      <c r="C49" s="4" t="s">
        <v>166</v>
      </c>
      <c r="D49" s="4" t="s">
        <v>244</v>
      </c>
      <c r="E49" s="4" t="s">
        <v>426</v>
      </c>
      <c r="F49" s="4" t="s">
        <v>427</v>
      </c>
      <c r="G49" s="4" t="s">
        <v>428</v>
      </c>
      <c r="H49" s="4" t="s">
        <v>429</v>
      </c>
    </row>
    <row r="50" spans="1:8">
      <c r="A50" s="4" t="s">
        <v>347</v>
      </c>
      <c r="B50" s="10" t="s">
        <v>430</v>
      </c>
      <c r="C50" s="4" t="s">
        <v>166</v>
      </c>
      <c r="D50" s="4" t="s">
        <v>244</v>
      </c>
      <c r="E50" s="4" t="s">
        <v>418</v>
      </c>
      <c r="F50" s="4" t="s">
        <v>431</v>
      </c>
      <c r="G50" s="4" t="s">
        <v>432</v>
      </c>
      <c r="H50" s="4" t="s">
        <v>433</v>
      </c>
    </row>
    <row r="51" spans="1:8">
      <c r="A51" s="4" t="s">
        <v>347</v>
      </c>
      <c r="B51" s="10" t="s">
        <v>434</v>
      </c>
      <c r="C51" s="4" t="s">
        <v>166</v>
      </c>
      <c r="D51" s="4" t="s">
        <v>244</v>
      </c>
      <c r="E51" s="4" t="s">
        <v>355</v>
      </c>
      <c r="F51" s="4" t="s">
        <v>435</v>
      </c>
      <c r="G51" s="4" t="s">
        <v>432</v>
      </c>
      <c r="H51" s="4" t="s">
        <v>433</v>
      </c>
    </row>
    <row r="52" spans="1:8">
      <c r="A52" s="4" t="s">
        <v>347</v>
      </c>
      <c r="B52" s="10" t="s">
        <v>436</v>
      </c>
      <c r="C52" s="4" t="s">
        <v>166</v>
      </c>
      <c r="D52" s="4" t="s">
        <v>244</v>
      </c>
      <c r="E52" s="4" t="s">
        <v>422</v>
      </c>
      <c r="F52" s="4" t="s">
        <v>437</v>
      </c>
      <c r="G52" s="4" t="s">
        <v>432</v>
      </c>
      <c r="H52" s="4" t="s">
        <v>438</v>
      </c>
    </row>
    <row r="53" spans="1:8">
      <c r="A53" s="4" t="s">
        <v>347</v>
      </c>
      <c r="B53" s="10" t="s">
        <v>439</v>
      </c>
      <c r="C53" s="4" t="s">
        <v>166</v>
      </c>
      <c r="D53" s="4" t="s">
        <v>244</v>
      </c>
      <c r="E53" s="4" t="s">
        <v>343</v>
      </c>
      <c r="F53" s="4" t="s">
        <v>440</v>
      </c>
      <c r="G53" s="4" t="s">
        <v>441</v>
      </c>
      <c r="H53" s="4" t="s">
        <v>442</v>
      </c>
    </row>
    <row r="54" spans="1:8">
      <c r="A54" s="4" t="s">
        <v>347</v>
      </c>
      <c r="B54" s="10" t="s">
        <v>443</v>
      </c>
      <c r="C54" s="4" t="s">
        <v>166</v>
      </c>
      <c r="D54" s="4" t="s">
        <v>444</v>
      </c>
      <c r="E54" s="4" t="s">
        <v>203</v>
      </c>
      <c r="F54" s="4" t="s">
        <v>445</v>
      </c>
      <c r="G54" s="4" t="s">
        <v>393</v>
      </c>
      <c r="H54" s="4" t="s">
        <v>446</v>
      </c>
    </row>
    <row r="55" spans="1:8">
      <c r="A55" s="4" t="s">
        <v>347</v>
      </c>
      <c r="B55" s="10" t="s">
        <v>447</v>
      </c>
      <c r="C55" s="4" t="s">
        <v>166</v>
      </c>
      <c r="D55" s="4" t="s">
        <v>444</v>
      </c>
      <c r="E55" s="4" t="s">
        <v>203</v>
      </c>
      <c r="F55" s="4" t="s">
        <v>448</v>
      </c>
      <c r="G55" s="4" t="s">
        <v>393</v>
      </c>
      <c r="H55" s="4" t="s">
        <v>449</v>
      </c>
    </row>
    <row r="56" spans="1:8">
      <c r="A56" s="4" t="s">
        <v>347</v>
      </c>
      <c r="B56" s="4" t="s">
        <v>450</v>
      </c>
      <c r="C56" s="4" t="s">
        <v>166</v>
      </c>
      <c r="D56" s="4" t="s">
        <v>244</v>
      </c>
      <c r="E56" s="4" t="s">
        <v>396</v>
      </c>
      <c r="F56" s="4" t="s">
        <v>451</v>
      </c>
      <c r="G56" s="4" t="s">
        <v>452</v>
      </c>
      <c r="H56" s="4" t="s">
        <v>453</v>
      </c>
    </row>
  </sheetData>
  <mergeCells count="2">
    <mergeCell ref="A1:H1"/>
    <mergeCell ref="A2:H2"/>
  </mergeCells>
  <printOptions horizontalCentered="1"/>
  <pageMargins left="0.25" right="0.25" top="0.4" bottom="0.4" header="0.3" footer="0.3"/>
  <pageSetup paperSize="11" scale="47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9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7" outlineLevelCol="7"/>
  <cols>
    <col min="1" max="1" width="15.6416666666667" style="1" customWidth="1"/>
    <col min="2" max="2" width="11.6416666666667" style="1" customWidth="1"/>
    <col min="3" max="3" width="24.6416666666667" style="1" customWidth="1"/>
    <col min="4" max="4" width="12.6416666666667" style="1" customWidth="1"/>
    <col min="5" max="5" width="32.6416666666667" style="1" customWidth="1"/>
    <col min="6" max="6" width="22.6416666666667" style="1" customWidth="1"/>
    <col min="7" max="7" width="45.6416666666667" style="1" customWidth="1"/>
    <col min="8" max="8" width="38.6416666666667" style="1" customWidth="1"/>
    <col min="9" max="16384" width="9.14166666666667" style="1"/>
  </cols>
  <sheetData>
    <row r="1" ht="14.55" spans="1:8">
      <c r="A1" s="2" t="s">
        <v>454</v>
      </c>
      <c r="B1" s="2"/>
      <c r="C1" s="2"/>
      <c r="D1" s="2"/>
      <c r="E1" s="2"/>
      <c r="F1" s="2"/>
      <c r="G1" s="2"/>
      <c r="H1" s="2"/>
    </row>
    <row r="2" spans="1:8">
      <c r="A2" s="3" t="s">
        <v>455</v>
      </c>
      <c r="B2" s="3"/>
      <c r="C2" s="3"/>
      <c r="D2" s="3"/>
      <c r="E2" s="3"/>
      <c r="F2" s="3"/>
      <c r="G2" s="3"/>
      <c r="H2" s="3"/>
    </row>
    <row r="3" spans="1:8">
      <c r="A3" s="4" t="s">
        <v>195</v>
      </c>
      <c r="B3" s="4" t="s">
        <v>196</v>
      </c>
      <c r="C3" s="4" t="s">
        <v>197</v>
      </c>
      <c r="D3" s="4" t="s">
        <v>198</v>
      </c>
      <c r="E3" s="4" t="s">
        <v>456</v>
      </c>
      <c r="F3" s="4" t="s">
        <v>457</v>
      </c>
      <c r="G3" s="4" t="s">
        <v>167</v>
      </c>
      <c r="H3" s="4" t="s">
        <v>88</v>
      </c>
    </row>
    <row r="4" spans="1:8">
      <c r="A4" s="4" t="s">
        <v>458</v>
      </c>
      <c r="B4" s="4">
        <v>2</v>
      </c>
      <c r="C4" s="4" t="s">
        <v>170</v>
      </c>
      <c r="D4" s="4" t="s">
        <v>203</v>
      </c>
      <c r="E4" s="4" t="s">
        <v>459</v>
      </c>
      <c r="F4" s="4" t="s">
        <v>104</v>
      </c>
      <c r="G4" s="4" t="s">
        <v>460</v>
      </c>
      <c r="H4" s="4" t="s">
        <v>461</v>
      </c>
    </row>
    <row r="5" spans="1:8">
      <c r="A5" s="4">
        <v>2</v>
      </c>
      <c r="B5" s="4">
        <v>1</v>
      </c>
      <c r="C5" s="4" t="s">
        <v>462</v>
      </c>
      <c r="D5" s="4" t="s">
        <v>203</v>
      </c>
      <c r="E5" s="4">
        <v>8</v>
      </c>
      <c r="F5" s="4" t="s">
        <v>104</v>
      </c>
      <c r="G5" s="4" t="s">
        <v>463</v>
      </c>
      <c r="H5" s="4" t="s">
        <v>464</v>
      </c>
    </row>
    <row r="6" spans="1:8">
      <c r="A6" s="4">
        <v>3</v>
      </c>
      <c r="B6" s="4">
        <v>1</v>
      </c>
      <c r="C6" s="4" t="s">
        <v>253</v>
      </c>
      <c r="D6" s="4" t="s">
        <v>203</v>
      </c>
      <c r="E6" s="4" t="s">
        <v>465</v>
      </c>
      <c r="F6" s="4" t="s">
        <v>104</v>
      </c>
      <c r="G6" s="4" t="s">
        <v>466</v>
      </c>
      <c r="H6" s="4" t="s">
        <v>467</v>
      </c>
    </row>
    <row r="7" spans="1:8">
      <c r="A7" s="4">
        <v>4</v>
      </c>
      <c r="B7" s="4">
        <v>1</v>
      </c>
      <c r="C7" s="4" t="s">
        <v>468</v>
      </c>
      <c r="D7" s="4" t="s">
        <v>203</v>
      </c>
      <c r="E7" s="4" t="s">
        <v>469</v>
      </c>
      <c r="F7" s="4" t="s">
        <v>104</v>
      </c>
      <c r="G7" s="4" t="s">
        <v>470</v>
      </c>
      <c r="H7" s="4" t="s">
        <v>471</v>
      </c>
    </row>
    <row r="8" spans="1:8">
      <c r="A8" s="4">
        <v>5</v>
      </c>
      <c r="B8" s="4">
        <v>1</v>
      </c>
      <c r="C8" s="4" t="s">
        <v>472</v>
      </c>
      <c r="D8" s="4" t="s">
        <v>203</v>
      </c>
      <c r="E8" s="4" t="s">
        <v>473</v>
      </c>
      <c r="F8" s="4" t="s">
        <v>104</v>
      </c>
      <c r="G8" s="4" t="s">
        <v>474</v>
      </c>
      <c r="H8" s="4" t="s">
        <v>475</v>
      </c>
    </row>
    <row r="9" spans="1:8">
      <c r="A9" s="4" t="s">
        <v>476</v>
      </c>
      <c r="B9" s="4" t="s">
        <v>477</v>
      </c>
      <c r="C9" s="4" t="s">
        <v>222</v>
      </c>
      <c r="D9" s="4" t="s">
        <v>223</v>
      </c>
      <c r="E9" s="4" t="s">
        <v>478</v>
      </c>
      <c r="F9" s="4" t="s">
        <v>104</v>
      </c>
      <c r="G9" s="4" t="s">
        <v>479</v>
      </c>
      <c r="H9" s="4" t="s">
        <v>480</v>
      </c>
    </row>
    <row r="10" spans="1:8">
      <c r="A10" s="4" t="s">
        <v>481</v>
      </c>
      <c r="B10" s="4">
        <v>2</v>
      </c>
      <c r="C10" s="4" t="s">
        <v>228</v>
      </c>
      <c r="D10" s="4" t="s">
        <v>223</v>
      </c>
      <c r="E10" s="4" t="s">
        <v>482</v>
      </c>
      <c r="F10" s="4" t="s">
        <v>95</v>
      </c>
      <c r="G10" s="4" t="s">
        <v>483</v>
      </c>
      <c r="H10" s="4" t="s">
        <v>484</v>
      </c>
    </row>
    <row r="11" spans="1:8">
      <c r="A11" s="4" t="s">
        <v>485</v>
      </c>
      <c r="B11" s="4">
        <v>2</v>
      </c>
      <c r="C11" s="4" t="s">
        <v>190</v>
      </c>
      <c r="D11" s="4" t="s">
        <v>203</v>
      </c>
      <c r="E11" s="4" t="s">
        <v>486</v>
      </c>
      <c r="F11" s="4" t="s">
        <v>95</v>
      </c>
      <c r="G11" s="4" t="s">
        <v>233</v>
      </c>
      <c r="H11" s="4" t="s">
        <v>487</v>
      </c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ht="14.55" spans="1:8">
      <c r="A14" s="5" t="s">
        <v>488</v>
      </c>
      <c r="B14" s="5"/>
      <c r="C14" s="5"/>
      <c r="D14" s="5"/>
      <c r="E14" s="5"/>
      <c r="F14" s="5"/>
      <c r="G14" s="5"/>
      <c r="H14" s="5"/>
    </row>
    <row r="15" spans="1:8">
      <c r="A15" s="4" t="s">
        <v>252</v>
      </c>
      <c r="B15" s="4" t="s">
        <v>253</v>
      </c>
      <c r="C15" s="4" t="s">
        <v>489</v>
      </c>
      <c r="D15" s="4" t="s">
        <v>472</v>
      </c>
      <c r="E15" s="4" t="s">
        <v>490</v>
      </c>
      <c r="F15" s="4" t="s">
        <v>491</v>
      </c>
      <c r="G15" s="4" t="s">
        <v>492</v>
      </c>
      <c r="H15" s="4" t="s">
        <v>88</v>
      </c>
    </row>
    <row r="16" spans="1:8">
      <c r="A16" s="4" t="s">
        <v>493</v>
      </c>
      <c r="B16" s="4" t="s">
        <v>494</v>
      </c>
      <c r="C16" s="4" t="s">
        <v>495</v>
      </c>
      <c r="D16" s="4">
        <v>0</v>
      </c>
      <c r="E16" s="4" t="s">
        <v>203</v>
      </c>
      <c r="F16" s="4" t="s">
        <v>496</v>
      </c>
      <c r="G16" s="4" t="s">
        <v>497</v>
      </c>
      <c r="H16" s="4" t="s">
        <v>498</v>
      </c>
    </row>
    <row r="17" spans="1:8">
      <c r="A17" s="4" t="s">
        <v>493</v>
      </c>
      <c r="B17" s="4" t="s">
        <v>499</v>
      </c>
      <c r="C17" s="4" t="s">
        <v>500</v>
      </c>
      <c r="D17" s="4">
        <v>0</v>
      </c>
      <c r="E17" s="4" t="s">
        <v>203</v>
      </c>
      <c r="F17" s="4" t="s">
        <v>501</v>
      </c>
      <c r="G17" s="4" t="s">
        <v>502</v>
      </c>
      <c r="H17" s="4" t="s">
        <v>503</v>
      </c>
    </row>
    <row r="18" spans="1:8">
      <c r="A18" s="4" t="s">
        <v>493</v>
      </c>
      <c r="B18" s="4" t="s">
        <v>504</v>
      </c>
      <c r="C18" s="4" t="s">
        <v>505</v>
      </c>
      <c r="D18" s="4">
        <v>1</v>
      </c>
      <c r="E18" s="4" t="s">
        <v>506</v>
      </c>
      <c r="F18" s="4" t="s">
        <v>507</v>
      </c>
      <c r="G18" s="4" t="s">
        <v>508</v>
      </c>
      <c r="H18" s="4" t="s">
        <v>509</v>
      </c>
    </row>
    <row r="19" spans="1:8">
      <c r="A19" s="4" t="s">
        <v>493</v>
      </c>
      <c r="B19" s="4" t="s">
        <v>510</v>
      </c>
      <c r="C19" s="4" t="s">
        <v>511</v>
      </c>
      <c r="D19" s="4">
        <v>41</v>
      </c>
      <c r="E19" s="4" t="s">
        <v>512</v>
      </c>
      <c r="F19" s="4" t="s">
        <v>513</v>
      </c>
      <c r="G19" s="4" t="s">
        <v>514</v>
      </c>
      <c r="H19" s="4" t="s">
        <v>515</v>
      </c>
    </row>
    <row r="20" spans="1:8">
      <c r="A20" s="4" t="s">
        <v>493</v>
      </c>
      <c r="B20" s="4" t="s">
        <v>516</v>
      </c>
      <c r="C20" s="4" t="s">
        <v>517</v>
      </c>
      <c r="D20" s="4">
        <v>0</v>
      </c>
      <c r="E20" s="4" t="s">
        <v>203</v>
      </c>
      <c r="F20" s="4" t="s">
        <v>513</v>
      </c>
      <c r="G20" s="4" t="s">
        <v>518</v>
      </c>
      <c r="H20" s="4" t="s">
        <v>519</v>
      </c>
    </row>
    <row r="21" spans="1:8">
      <c r="A21" s="4" t="s">
        <v>493</v>
      </c>
      <c r="B21" s="4" t="s">
        <v>520</v>
      </c>
      <c r="C21" s="4" t="s">
        <v>521</v>
      </c>
      <c r="D21" s="4">
        <v>0</v>
      </c>
      <c r="E21" s="4" t="s">
        <v>203</v>
      </c>
      <c r="F21" s="4" t="s">
        <v>513</v>
      </c>
      <c r="G21" s="4" t="s">
        <v>522</v>
      </c>
      <c r="H21" s="4" t="s">
        <v>523</v>
      </c>
    </row>
    <row r="22" spans="1:8">
      <c r="A22" s="4" t="s">
        <v>493</v>
      </c>
      <c r="B22" s="4" t="s">
        <v>524</v>
      </c>
      <c r="C22" s="4" t="s">
        <v>525</v>
      </c>
      <c r="D22" s="4">
        <v>6</v>
      </c>
      <c r="E22" s="4" t="s">
        <v>526</v>
      </c>
      <c r="F22" s="4" t="s">
        <v>513</v>
      </c>
      <c r="G22" s="4" t="s">
        <v>527</v>
      </c>
      <c r="H22" s="4" t="s">
        <v>528</v>
      </c>
    </row>
    <row r="23" spans="1:8">
      <c r="A23" s="4" t="s">
        <v>493</v>
      </c>
      <c r="B23" s="4" t="s">
        <v>529</v>
      </c>
      <c r="C23" s="4" t="s">
        <v>530</v>
      </c>
      <c r="D23" s="4">
        <v>4</v>
      </c>
      <c r="E23" s="4" t="s">
        <v>531</v>
      </c>
      <c r="F23" s="4" t="s">
        <v>513</v>
      </c>
      <c r="G23" s="4" t="s">
        <v>303</v>
      </c>
      <c r="H23" s="4" t="s">
        <v>532</v>
      </c>
    </row>
    <row r="24" spans="1:8">
      <c r="A24" s="4" t="s">
        <v>493</v>
      </c>
      <c r="B24" s="4" t="s">
        <v>533</v>
      </c>
      <c r="C24" s="4" t="s">
        <v>534</v>
      </c>
      <c r="D24" s="4">
        <v>4</v>
      </c>
      <c r="E24" s="4" t="s">
        <v>531</v>
      </c>
      <c r="F24" s="4" t="s">
        <v>513</v>
      </c>
      <c r="G24" s="4" t="s">
        <v>535</v>
      </c>
      <c r="H24" s="4" t="s">
        <v>536</v>
      </c>
    </row>
    <row r="25" spans="1:8">
      <c r="A25" s="4" t="s">
        <v>493</v>
      </c>
      <c r="B25" s="4" t="s">
        <v>537</v>
      </c>
      <c r="C25" s="4" t="s">
        <v>538</v>
      </c>
      <c r="D25" s="4">
        <v>0</v>
      </c>
      <c r="E25" s="4" t="s">
        <v>203</v>
      </c>
      <c r="F25" s="4" t="s">
        <v>513</v>
      </c>
      <c r="G25" s="4" t="s">
        <v>539</v>
      </c>
      <c r="H25" s="4" t="s">
        <v>540</v>
      </c>
    </row>
    <row r="26" spans="1:8">
      <c r="A26" s="4" t="s">
        <v>493</v>
      </c>
      <c r="B26" s="4" t="s">
        <v>541</v>
      </c>
      <c r="C26" s="4" t="s">
        <v>542</v>
      </c>
      <c r="D26" s="4">
        <v>0</v>
      </c>
      <c r="E26" s="4" t="s">
        <v>203</v>
      </c>
      <c r="F26" s="4" t="s">
        <v>513</v>
      </c>
      <c r="G26" s="4" t="s">
        <v>543</v>
      </c>
      <c r="H26" s="4" t="s">
        <v>544</v>
      </c>
    </row>
    <row r="27" spans="1:8">
      <c r="A27" s="4" t="s">
        <v>493</v>
      </c>
      <c r="B27" s="4" t="s">
        <v>545</v>
      </c>
      <c r="C27" s="4" t="s">
        <v>546</v>
      </c>
      <c r="D27" s="4">
        <v>2</v>
      </c>
      <c r="E27" s="4" t="s">
        <v>547</v>
      </c>
      <c r="F27" s="4" t="s">
        <v>513</v>
      </c>
      <c r="G27" s="4" t="s">
        <v>548</v>
      </c>
      <c r="H27" s="4" t="s">
        <v>549</v>
      </c>
    </row>
    <row r="28" spans="1:8">
      <c r="A28" s="4" t="s">
        <v>493</v>
      </c>
      <c r="B28" s="4" t="s">
        <v>550</v>
      </c>
      <c r="C28" s="4" t="s">
        <v>551</v>
      </c>
      <c r="D28" s="4">
        <v>0</v>
      </c>
      <c r="E28" s="4" t="s">
        <v>203</v>
      </c>
      <c r="F28" s="4" t="s">
        <v>552</v>
      </c>
      <c r="G28" s="4" t="s">
        <v>553</v>
      </c>
      <c r="H28" s="4" t="s">
        <v>554</v>
      </c>
    </row>
    <row r="29" spans="1:8">
      <c r="A29" s="4" t="s">
        <v>493</v>
      </c>
      <c r="B29" s="4" t="s">
        <v>555</v>
      </c>
      <c r="C29" s="4" t="s">
        <v>556</v>
      </c>
      <c r="D29" s="4">
        <v>0</v>
      </c>
      <c r="E29" s="4" t="s">
        <v>203</v>
      </c>
      <c r="F29" s="4" t="s">
        <v>557</v>
      </c>
      <c r="G29" s="4" t="s">
        <v>558</v>
      </c>
      <c r="H29" s="4" t="s">
        <v>559</v>
      </c>
    </row>
    <row r="30" spans="1:8">
      <c r="A30" s="4" t="s">
        <v>493</v>
      </c>
      <c r="B30" s="4" t="s">
        <v>560</v>
      </c>
      <c r="C30" s="4" t="s">
        <v>561</v>
      </c>
      <c r="D30" s="4">
        <v>12</v>
      </c>
      <c r="E30" s="4" t="s">
        <v>562</v>
      </c>
      <c r="F30" s="4" t="s">
        <v>513</v>
      </c>
      <c r="G30" s="4" t="s">
        <v>563</v>
      </c>
      <c r="H30" s="4" t="s">
        <v>564</v>
      </c>
    </row>
    <row r="31" spans="1:8">
      <c r="A31" s="4" t="s">
        <v>493</v>
      </c>
      <c r="B31" s="4" t="s">
        <v>565</v>
      </c>
      <c r="C31" s="4" t="s">
        <v>566</v>
      </c>
      <c r="D31" s="4">
        <v>4</v>
      </c>
      <c r="E31" s="4" t="s">
        <v>567</v>
      </c>
      <c r="F31" s="4" t="s">
        <v>513</v>
      </c>
      <c r="G31" s="4" t="s">
        <v>568</v>
      </c>
      <c r="H31" s="4" t="s">
        <v>569</v>
      </c>
    </row>
    <row r="32" spans="1:8">
      <c r="A32" s="4" t="s">
        <v>493</v>
      </c>
      <c r="B32" s="4" t="s">
        <v>570</v>
      </c>
      <c r="C32" s="4" t="s">
        <v>571</v>
      </c>
      <c r="D32" s="4">
        <v>0</v>
      </c>
      <c r="E32" s="4" t="s">
        <v>203</v>
      </c>
      <c r="F32" s="4" t="s">
        <v>513</v>
      </c>
      <c r="G32" s="4" t="s">
        <v>572</v>
      </c>
      <c r="H32" s="4" t="s">
        <v>573</v>
      </c>
    </row>
    <row r="33" spans="1:8">
      <c r="A33" s="4" t="s">
        <v>493</v>
      </c>
      <c r="B33" s="4" t="s">
        <v>574</v>
      </c>
      <c r="C33" s="4" t="s">
        <v>575</v>
      </c>
      <c r="D33" s="4">
        <v>1</v>
      </c>
      <c r="E33" s="4" t="s">
        <v>343</v>
      </c>
      <c r="F33" s="4" t="s">
        <v>513</v>
      </c>
      <c r="G33" s="4" t="s">
        <v>576</v>
      </c>
      <c r="H33" s="4" t="s">
        <v>577</v>
      </c>
    </row>
    <row r="34" spans="1:8">
      <c r="A34" s="4" t="s">
        <v>578</v>
      </c>
      <c r="B34" s="4" t="s">
        <v>579</v>
      </c>
      <c r="C34" s="4" t="s">
        <v>580</v>
      </c>
      <c r="D34" s="4">
        <v>6</v>
      </c>
      <c r="E34" s="4" t="s">
        <v>581</v>
      </c>
      <c r="F34" s="4" t="s">
        <v>203</v>
      </c>
      <c r="G34" s="4" t="s">
        <v>582</v>
      </c>
      <c r="H34" s="4" t="s">
        <v>498</v>
      </c>
    </row>
    <row r="35" spans="1:8">
      <c r="A35" s="4" t="s">
        <v>578</v>
      </c>
      <c r="B35" s="4" t="s">
        <v>507</v>
      </c>
      <c r="C35" s="4" t="s">
        <v>583</v>
      </c>
      <c r="D35" s="4">
        <v>41</v>
      </c>
      <c r="E35" s="4" t="s">
        <v>584</v>
      </c>
      <c r="F35" s="4" t="s">
        <v>203</v>
      </c>
      <c r="G35" s="4" t="s">
        <v>585</v>
      </c>
      <c r="H35" s="4" t="s">
        <v>586</v>
      </c>
    </row>
    <row r="36" spans="1:8">
      <c r="A36" s="4" t="s">
        <v>578</v>
      </c>
      <c r="B36" s="4" t="s">
        <v>587</v>
      </c>
      <c r="C36" s="4" t="s">
        <v>588</v>
      </c>
      <c r="D36" s="4">
        <v>2</v>
      </c>
      <c r="E36" s="4" t="s">
        <v>589</v>
      </c>
      <c r="F36" s="4" t="s">
        <v>203</v>
      </c>
      <c r="G36" s="4" t="s">
        <v>590</v>
      </c>
      <c r="H36" s="4" t="s">
        <v>591</v>
      </c>
    </row>
    <row r="37" spans="1:8">
      <c r="A37" s="4" t="s">
        <v>578</v>
      </c>
      <c r="B37" s="4" t="s">
        <v>557</v>
      </c>
      <c r="C37" s="4" t="s">
        <v>592</v>
      </c>
      <c r="D37" s="4">
        <v>12</v>
      </c>
      <c r="E37" s="4" t="s">
        <v>593</v>
      </c>
      <c r="F37" s="4" t="s">
        <v>203</v>
      </c>
      <c r="G37" s="4" t="s">
        <v>594</v>
      </c>
      <c r="H37" s="4" t="s">
        <v>595</v>
      </c>
    </row>
    <row r="38" spans="1:8">
      <c r="A38" s="4" t="s">
        <v>578</v>
      </c>
      <c r="B38" s="4" t="s">
        <v>552</v>
      </c>
      <c r="C38" s="4" t="s">
        <v>596</v>
      </c>
      <c r="D38" s="4">
        <v>61</v>
      </c>
      <c r="E38" s="4" t="s">
        <v>597</v>
      </c>
      <c r="F38" s="4" t="s">
        <v>203</v>
      </c>
      <c r="G38" s="4" t="s">
        <v>598</v>
      </c>
      <c r="H38" s="4" t="s">
        <v>599</v>
      </c>
    </row>
    <row r="39" spans="1:8">
      <c r="A39" s="4" t="s">
        <v>578</v>
      </c>
      <c r="B39" s="4" t="s">
        <v>600</v>
      </c>
      <c r="C39" s="4" t="s">
        <v>601</v>
      </c>
      <c r="D39" s="4">
        <v>9</v>
      </c>
      <c r="E39" s="4" t="s">
        <v>597</v>
      </c>
      <c r="F39" s="4" t="s">
        <v>203</v>
      </c>
      <c r="G39" s="4" t="s">
        <v>602</v>
      </c>
      <c r="H39" s="4" t="s">
        <v>603</v>
      </c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ht="14.55" spans="1:8">
      <c r="A42" s="5" t="s">
        <v>604</v>
      </c>
      <c r="B42" s="5"/>
      <c r="C42" s="5"/>
      <c r="D42" s="5"/>
      <c r="E42" s="5"/>
      <c r="F42" s="5"/>
      <c r="G42" s="5"/>
      <c r="H42" s="5"/>
    </row>
    <row r="43" spans="1:8">
      <c r="A43" s="4" t="s">
        <v>37</v>
      </c>
      <c r="B43" s="4" t="s">
        <v>81</v>
      </c>
      <c r="C43" s="4" t="s">
        <v>83</v>
      </c>
      <c r="D43" s="4" t="s">
        <v>605</v>
      </c>
      <c r="E43" s="4" t="s">
        <v>606</v>
      </c>
      <c r="F43" s="4" t="s">
        <v>607</v>
      </c>
      <c r="G43" s="4" t="s">
        <v>608</v>
      </c>
      <c r="H43" s="4" t="s">
        <v>609</v>
      </c>
    </row>
    <row r="44" spans="1:8">
      <c r="A44" s="4">
        <v>0</v>
      </c>
      <c r="B44" s="4" t="s">
        <v>610</v>
      </c>
      <c r="C44" s="4" t="s">
        <v>611</v>
      </c>
      <c r="D44" s="4" t="s">
        <v>203</v>
      </c>
      <c r="E44" s="4">
        <v>6</v>
      </c>
      <c r="F44" s="4" t="s">
        <v>612</v>
      </c>
      <c r="G44" s="4" t="s">
        <v>613</v>
      </c>
      <c r="H44" s="4" t="s">
        <v>614</v>
      </c>
    </row>
    <row r="45" ht="27.45" spans="1:8">
      <c r="A45" s="4">
        <v>1</v>
      </c>
      <c r="B45" s="4" t="s">
        <v>615</v>
      </c>
      <c r="C45" s="4" t="s">
        <v>616</v>
      </c>
      <c r="D45" s="4" t="s">
        <v>617</v>
      </c>
      <c r="E45" s="4">
        <v>7</v>
      </c>
      <c r="F45" s="4" t="s">
        <v>618</v>
      </c>
      <c r="G45" s="4" t="s">
        <v>619</v>
      </c>
      <c r="H45" s="4" t="s">
        <v>620</v>
      </c>
    </row>
    <row r="46" ht="27.45" spans="1:8">
      <c r="A46" s="4">
        <v>2</v>
      </c>
      <c r="B46" s="4" t="s">
        <v>621</v>
      </c>
      <c r="C46" s="4" t="s">
        <v>622</v>
      </c>
      <c r="D46" s="4" t="s">
        <v>623</v>
      </c>
      <c r="E46" s="4">
        <v>8</v>
      </c>
      <c r="F46" s="4" t="s">
        <v>624</v>
      </c>
      <c r="G46" s="4" t="s">
        <v>625</v>
      </c>
      <c r="H46" s="4" t="s">
        <v>626</v>
      </c>
    </row>
    <row r="47" ht="27.45" spans="1:8">
      <c r="A47" s="4">
        <v>3</v>
      </c>
      <c r="B47" s="4" t="s">
        <v>627</v>
      </c>
      <c r="C47" s="4" t="s">
        <v>628</v>
      </c>
      <c r="D47" s="4" t="s">
        <v>629</v>
      </c>
      <c r="E47" s="4">
        <v>9</v>
      </c>
      <c r="F47" s="4" t="s">
        <v>630</v>
      </c>
      <c r="G47" s="4" t="s">
        <v>631</v>
      </c>
      <c r="H47" s="4" t="s">
        <v>632</v>
      </c>
    </row>
    <row r="48" ht="27.45" spans="1:8">
      <c r="A48" s="4">
        <v>4</v>
      </c>
      <c r="B48" s="4" t="s">
        <v>633</v>
      </c>
      <c r="C48" s="4" t="s">
        <v>634</v>
      </c>
      <c r="D48" s="4" t="s">
        <v>635</v>
      </c>
      <c r="E48" s="4">
        <v>10</v>
      </c>
      <c r="F48" s="4" t="s">
        <v>636</v>
      </c>
      <c r="G48" s="4" t="s">
        <v>637</v>
      </c>
      <c r="H48" s="4" t="s">
        <v>638</v>
      </c>
    </row>
    <row r="49" ht="27.45" spans="1:8">
      <c r="A49" s="4">
        <v>5</v>
      </c>
      <c r="B49" s="4" t="s">
        <v>639</v>
      </c>
      <c r="C49" s="4" t="s">
        <v>640</v>
      </c>
      <c r="D49" s="4" t="s">
        <v>641</v>
      </c>
      <c r="E49" s="4"/>
      <c r="F49" s="4"/>
      <c r="G49" s="4"/>
      <c r="H49" s="4"/>
    </row>
  </sheetData>
  <mergeCells count="4">
    <mergeCell ref="A1:H1"/>
    <mergeCell ref="A2:H2"/>
    <mergeCell ref="A14:H14"/>
    <mergeCell ref="A42:H42"/>
  </mergeCells>
  <printOptions horizontalCentered="1"/>
  <pageMargins left="0.25" right="0.25" top="0.4" bottom="0.4" header="0.3" footer="0.3"/>
  <pageSetup paperSize="11" scale="47" fitToHeight="0" orientation="landscape"/>
  <headerFooter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55"/>
  <sheetViews>
    <sheetView showGridLines="0" workbookViewId="0">
      <pane ySplit="3" topLeftCell="A19" activePane="bottomLeft" state="frozen"/>
      <selection/>
      <selection pane="bottomLeft" activeCell="A4" sqref="A4"/>
    </sheetView>
  </sheetViews>
  <sheetFormatPr defaultColWidth="9" defaultRowHeight="13.7"/>
  <cols>
    <col min="1" max="1" width="11.6416666666667" style="1" customWidth="1"/>
    <col min="2" max="2" width="9.64166666666667" style="1" customWidth="1"/>
    <col min="3" max="3" width="13.6416666666667" style="1" customWidth="1"/>
    <col min="4" max="4" width="25.6416666666667" style="1" customWidth="1"/>
    <col min="5" max="5" width="20.6416666666667" style="1" customWidth="1"/>
    <col min="6" max="6" width="39.6416666666667" style="1" customWidth="1"/>
    <col min="7" max="7" width="21.6416666666667" style="1" customWidth="1"/>
    <col min="8" max="8" width="16.6416666666667" style="1" customWidth="1"/>
    <col min="9" max="9" width="37.6416666666667" style="1" customWidth="1"/>
    <col min="10" max="16384" width="9.14166666666667" style="1"/>
  </cols>
  <sheetData>
    <row r="1" ht="14.55" spans="1:9">
      <c r="A1" s="2" t="s">
        <v>642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643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195</v>
      </c>
      <c r="B3" s="4" t="s">
        <v>196</v>
      </c>
      <c r="C3" s="4" t="s">
        <v>644</v>
      </c>
      <c r="D3" s="4" t="s">
        <v>197</v>
      </c>
      <c r="E3" s="4" t="s">
        <v>645</v>
      </c>
      <c r="F3" s="4" t="s">
        <v>167</v>
      </c>
      <c r="G3" s="4" t="s">
        <v>646</v>
      </c>
      <c r="H3" s="4" t="s">
        <v>647</v>
      </c>
      <c r="I3" s="4" t="s">
        <v>88</v>
      </c>
    </row>
    <row r="4" spans="1:9">
      <c r="A4" s="4" t="s">
        <v>310</v>
      </c>
      <c r="B4" s="4">
        <v>4</v>
      </c>
      <c r="C4" s="4" t="s">
        <v>386</v>
      </c>
      <c r="D4" s="4" t="s">
        <v>648</v>
      </c>
      <c r="E4" s="4" t="s">
        <v>649</v>
      </c>
      <c r="F4" s="4" t="s">
        <v>650</v>
      </c>
      <c r="G4" s="4" t="s">
        <v>203</v>
      </c>
      <c r="H4" s="4" t="s">
        <v>651</v>
      </c>
      <c r="I4" s="4" t="s">
        <v>652</v>
      </c>
    </row>
    <row r="5" spans="1:9">
      <c r="A5" s="4" t="s">
        <v>653</v>
      </c>
      <c r="B5" s="4">
        <v>4</v>
      </c>
      <c r="C5" s="4" t="s">
        <v>268</v>
      </c>
      <c r="D5" s="4" t="s">
        <v>654</v>
      </c>
      <c r="E5" s="4" t="s">
        <v>355</v>
      </c>
      <c r="F5" s="4" t="s">
        <v>655</v>
      </c>
      <c r="G5" s="4" t="s">
        <v>203</v>
      </c>
      <c r="H5" s="4" t="s">
        <v>651</v>
      </c>
      <c r="I5" s="4" t="s">
        <v>656</v>
      </c>
    </row>
    <row r="6" spans="1:9">
      <c r="A6" s="4" t="s">
        <v>657</v>
      </c>
      <c r="B6" s="4">
        <v>4</v>
      </c>
      <c r="C6" s="4" t="s">
        <v>268</v>
      </c>
      <c r="D6" s="4" t="s">
        <v>658</v>
      </c>
      <c r="E6" s="4" t="s">
        <v>355</v>
      </c>
      <c r="F6" s="4" t="s">
        <v>659</v>
      </c>
      <c r="G6" s="4" t="s">
        <v>203</v>
      </c>
      <c r="H6" s="4" t="s">
        <v>660</v>
      </c>
      <c r="I6" s="4" t="s">
        <v>661</v>
      </c>
    </row>
    <row r="7" spans="1:9">
      <c r="A7" s="4" t="s">
        <v>662</v>
      </c>
      <c r="B7" s="4">
        <v>4</v>
      </c>
      <c r="C7" s="4" t="s">
        <v>663</v>
      </c>
      <c r="D7" s="4" t="s">
        <v>664</v>
      </c>
      <c r="E7" s="4" t="s">
        <v>665</v>
      </c>
      <c r="F7" s="4" t="s">
        <v>666</v>
      </c>
      <c r="G7" s="4" t="s">
        <v>203</v>
      </c>
      <c r="H7" s="4" t="s">
        <v>667</v>
      </c>
      <c r="I7" s="4" t="s">
        <v>668</v>
      </c>
    </row>
    <row r="8" spans="1:9">
      <c r="A8" s="4" t="s">
        <v>669</v>
      </c>
      <c r="B8" s="4">
        <v>4</v>
      </c>
      <c r="C8" s="4" t="s">
        <v>663</v>
      </c>
      <c r="D8" s="4" t="s">
        <v>670</v>
      </c>
      <c r="E8" s="4" t="s">
        <v>665</v>
      </c>
      <c r="F8" s="4" t="s">
        <v>671</v>
      </c>
      <c r="G8" s="4" t="s">
        <v>203</v>
      </c>
      <c r="H8" s="4" t="s">
        <v>672</v>
      </c>
      <c r="I8" s="4" t="s">
        <v>673</v>
      </c>
    </row>
    <row r="9" spans="1:9">
      <c r="A9" s="4">
        <v>20</v>
      </c>
      <c r="B9" s="4">
        <v>1</v>
      </c>
      <c r="C9" s="4" t="s">
        <v>465</v>
      </c>
      <c r="D9" s="4" t="s">
        <v>674</v>
      </c>
      <c r="E9" s="4" t="s">
        <v>675</v>
      </c>
      <c r="F9" s="4" t="s">
        <v>676</v>
      </c>
      <c r="G9" s="4" t="s">
        <v>677</v>
      </c>
      <c r="H9" s="4" t="s">
        <v>678</v>
      </c>
      <c r="I9" s="4" t="s">
        <v>679</v>
      </c>
    </row>
    <row r="10" spans="1:9">
      <c r="A10" s="4">
        <v>21</v>
      </c>
      <c r="B10" s="4">
        <v>1</v>
      </c>
      <c r="C10" s="4" t="s">
        <v>465</v>
      </c>
      <c r="D10" s="4" t="s">
        <v>680</v>
      </c>
      <c r="E10" s="4" t="s">
        <v>343</v>
      </c>
      <c r="F10" s="4" t="s">
        <v>681</v>
      </c>
      <c r="G10" s="4" t="s">
        <v>203</v>
      </c>
      <c r="H10" s="4" t="s">
        <v>651</v>
      </c>
      <c r="I10" s="4" t="s">
        <v>682</v>
      </c>
    </row>
    <row r="11" spans="1:9">
      <c r="A11" s="4">
        <v>22</v>
      </c>
      <c r="B11" s="4">
        <v>1</v>
      </c>
      <c r="C11" s="4" t="s">
        <v>465</v>
      </c>
      <c r="D11" s="4" t="s">
        <v>683</v>
      </c>
      <c r="E11" s="4" t="s">
        <v>684</v>
      </c>
      <c r="F11" s="4" t="s">
        <v>685</v>
      </c>
      <c r="G11" s="4" t="s">
        <v>686</v>
      </c>
      <c r="H11" s="4" t="s">
        <v>651</v>
      </c>
      <c r="I11" s="4" t="s">
        <v>687</v>
      </c>
    </row>
    <row r="12" spans="1:9">
      <c r="A12" s="4" t="s">
        <v>688</v>
      </c>
      <c r="B12" s="4">
        <v>2</v>
      </c>
      <c r="C12" s="4" t="s">
        <v>244</v>
      </c>
      <c r="D12" s="4" t="s">
        <v>689</v>
      </c>
      <c r="E12" s="4" t="s">
        <v>690</v>
      </c>
      <c r="F12" s="4" t="s">
        <v>691</v>
      </c>
      <c r="G12" s="4" t="s">
        <v>692</v>
      </c>
      <c r="H12" s="4" t="s">
        <v>651</v>
      </c>
      <c r="I12" s="4" t="s">
        <v>693</v>
      </c>
    </row>
    <row r="13" spans="1:9">
      <c r="A13" s="4">
        <v>25</v>
      </c>
      <c r="B13" s="4">
        <v>1</v>
      </c>
      <c r="C13" s="4" t="s">
        <v>465</v>
      </c>
      <c r="D13" s="4" t="s">
        <v>694</v>
      </c>
      <c r="E13" s="4" t="s">
        <v>343</v>
      </c>
      <c r="F13" s="4" t="s">
        <v>695</v>
      </c>
      <c r="G13" s="4" t="s">
        <v>203</v>
      </c>
      <c r="H13" s="4" t="s">
        <v>651</v>
      </c>
      <c r="I13" s="4" t="s">
        <v>696</v>
      </c>
    </row>
    <row r="14" spans="1:9">
      <c r="A14" s="4">
        <v>26</v>
      </c>
      <c r="B14" s="4">
        <v>1</v>
      </c>
      <c r="C14" s="4" t="s">
        <v>465</v>
      </c>
      <c r="D14" s="4" t="s">
        <v>697</v>
      </c>
      <c r="E14" s="4" t="s">
        <v>343</v>
      </c>
      <c r="F14" s="4" t="s">
        <v>698</v>
      </c>
      <c r="G14" s="4" t="s">
        <v>203</v>
      </c>
      <c r="H14" s="4" t="s">
        <v>651</v>
      </c>
      <c r="I14" s="4" t="s">
        <v>699</v>
      </c>
    </row>
    <row r="15" spans="1:9">
      <c r="A15" s="4">
        <v>27</v>
      </c>
      <c r="B15" s="4">
        <v>1</v>
      </c>
      <c r="C15" s="4" t="s">
        <v>465</v>
      </c>
      <c r="D15" s="4" t="s">
        <v>700</v>
      </c>
      <c r="E15" s="4" t="s">
        <v>701</v>
      </c>
      <c r="F15" s="4" t="s">
        <v>702</v>
      </c>
      <c r="G15" s="4" t="s">
        <v>703</v>
      </c>
      <c r="H15" s="4" t="s">
        <v>651</v>
      </c>
      <c r="I15" s="4" t="s">
        <v>704</v>
      </c>
    </row>
    <row r="16" spans="1:9">
      <c r="A16" s="4">
        <v>28</v>
      </c>
      <c r="B16" s="4">
        <v>1</v>
      </c>
      <c r="C16" s="4" t="s">
        <v>465</v>
      </c>
      <c r="D16" s="4" t="s">
        <v>705</v>
      </c>
      <c r="E16" s="4" t="s">
        <v>343</v>
      </c>
      <c r="F16" s="4" t="s">
        <v>706</v>
      </c>
      <c r="G16" s="4" t="s">
        <v>203</v>
      </c>
      <c r="H16" s="4" t="s">
        <v>651</v>
      </c>
      <c r="I16" s="4" t="s">
        <v>707</v>
      </c>
    </row>
    <row r="17" spans="1:9">
      <c r="A17" s="4">
        <v>29</v>
      </c>
      <c r="B17" s="4">
        <v>1</v>
      </c>
      <c r="C17" s="4" t="s">
        <v>465</v>
      </c>
      <c r="D17" s="4" t="s">
        <v>708</v>
      </c>
      <c r="E17" s="4" t="s">
        <v>709</v>
      </c>
      <c r="F17" s="4" t="s">
        <v>710</v>
      </c>
      <c r="G17" s="4" t="s">
        <v>711</v>
      </c>
      <c r="H17" s="4" t="s">
        <v>651</v>
      </c>
      <c r="I17" s="4" t="s">
        <v>712</v>
      </c>
    </row>
    <row r="18" spans="1:9">
      <c r="A18" s="4">
        <v>30</v>
      </c>
      <c r="B18" s="4">
        <v>1</v>
      </c>
      <c r="C18" s="4" t="s">
        <v>465</v>
      </c>
      <c r="D18" s="4" t="s">
        <v>713</v>
      </c>
      <c r="E18" s="4" t="s">
        <v>343</v>
      </c>
      <c r="F18" s="4" t="s">
        <v>714</v>
      </c>
      <c r="G18" s="4" t="s">
        <v>203</v>
      </c>
      <c r="H18" s="4" t="s">
        <v>651</v>
      </c>
      <c r="I18" s="4" t="s">
        <v>715</v>
      </c>
    </row>
    <row r="19" spans="1:9">
      <c r="A19" s="4">
        <v>31</v>
      </c>
      <c r="B19" s="4">
        <v>1</v>
      </c>
      <c r="C19" s="4" t="s">
        <v>465</v>
      </c>
      <c r="D19" s="4" t="s">
        <v>716</v>
      </c>
      <c r="E19" s="4" t="s">
        <v>343</v>
      </c>
      <c r="F19" s="4" t="s">
        <v>717</v>
      </c>
      <c r="G19" s="4" t="s">
        <v>203</v>
      </c>
      <c r="H19" s="4" t="s">
        <v>651</v>
      </c>
      <c r="I19" s="4" t="s">
        <v>718</v>
      </c>
    </row>
    <row r="20" spans="1:9">
      <c r="A20" s="4" t="s">
        <v>719</v>
      </c>
      <c r="B20" s="4">
        <v>2</v>
      </c>
      <c r="C20" s="4" t="s">
        <v>244</v>
      </c>
      <c r="D20" s="4" t="s">
        <v>720</v>
      </c>
      <c r="E20" s="4" t="s">
        <v>721</v>
      </c>
      <c r="F20" s="4" t="s">
        <v>722</v>
      </c>
      <c r="G20" s="4" t="s">
        <v>203</v>
      </c>
      <c r="H20" s="4" t="s">
        <v>723</v>
      </c>
      <c r="I20" s="4" t="s">
        <v>724</v>
      </c>
    </row>
    <row r="21" spans="1:9">
      <c r="A21" s="4" t="s">
        <v>725</v>
      </c>
      <c r="B21" s="4">
        <v>2</v>
      </c>
      <c r="C21" s="4" t="s">
        <v>244</v>
      </c>
      <c r="D21" s="4" t="s">
        <v>726</v>
      </c>
      <c r="E21" s="4" t="s">
        <v>727</v>
      </c>
      <c r="F21" s="4" t="s">
        <v>728</v>
      </c>
      <c r="G21" s="4" t="s">
        <v>203</v>
      </c>
      <c r="H21" s="4" t="s">
        <v>723</v>
      </c>
      <c r="I21" s="4" t="s">
        <v>729</v>
      </c>
    </row>
    <row r="22" spans="1:9">
      <c r="A22" s="4" t="s">
        <v>730</v>
      </c>
      <c r="B22" s="4">
        <v>4</v>
      </c>
      <c r="C22" s="4" t="s">
        <v>268</v>
      </c>
      <c r="D22" s="4" t="s">
        <v>731</v>
      </c>
      <c r="E22" s="4" t="s">
        <v>349</v>
      </c>
      <c r="F22" s="4" t="s">
        <v>732</v>
      </c>
      <c r="G22" s="4" t="s">
        <v>203</v>
      </c>
      <c r="H22" s="4" t="s">
        <v>651</v>
      </c>
      <c r="I22" s="4" t="s">
        <v>733</v>
      </c>
    </row>
    <row r="23" spans="1:9">
      <c r="A23" s="4" t="s">
        <v>734</v>
      </c>
      <c r="B23" s="4">
        <v>4</v>
      </c>
      <c r="C23" s="4" t="s">
        <v>268</v>
      </c>
      <c r="D23" s="4" t="s">
        <v>735</v>
      </c>
      <c r="E23" s="4" t="s">
        <v>349</v>
      </c>
      <c r="F23" s="4" t="s">
        <v>736</v>
      </c>
      <c r="G23" s="4" t="s">
        <v>203</v>
      </c>
      <c r="H23" s="4" t="s">
        <v>737</v>
      </c>
      <c r="I23" s="4" t="s">
        <v>738</v>
      </c>
    </row>
    <row r="24" spans="1:9">
      <c r="A24" s="4">
        <v>44</v>
      </c>
      <c r="B24" s="4">
        <v>1</v>
      </c>
      <c r="C24" s="4" t="s">
        <v>465</v>
      </c>
      <c r="D24" s="4" t="s">
        <v>739</v>
      </c>
      <c r="E24" s="4" t="s">
        <v>343</v>
      </c>
      <c r="F24" s="4" t="s">
        <v>740</v>
      </c>
      <c r="G24" s="4" t="s">
        <v>203</v>
      </c>
      <c r="H24" s="4" t="s">
        <v>651</v>
      </c>
      <c r="I24" s="4" t="s">
        <v>741</v>
      </c>
    </row>
    <row r="25" spans="1:9">
      <c r="A25" s="4" t="s">
        <v>742</v>
      </c>
      <c r="B25" s="4">
        <v>4</v>
      </c>
      <c r="C25" s="4" t="s">
        <v>268</v>
      </c>
      <c r="D25" s="4" t="s">
        <v>743</v>
      </c>
      <c r="E25" s="4" t="s">
        <v>721</v>
      </c>
      <c r="F25" s="4" t="s">
        <v>744</v>
      </c>
      <c r="G25" s="4" t="s">
        <v>203</v>
      </c>
      <c r="H25" s="4" t="s">
        <v>745</v>
      </c>
      <c r="I25" s="4" t="s">
        <v>746</v>
      </c>
    </row>
    <row r="26" spans="1:9">
      <c r="A26" s="4" t="s">
        <v>747</v>
      </c>
      <c r="B26" s="4">
        <v>4</v>
      </c>
      <c r="C26" s="4" t="s">
        <v>268</v>
      </c>
      <c r="D26" s="4" t="s">
        <v>748</v>
      </c>
      <c r="E26" s="4" t="s">
        <v>749</v>
      </c>
      <c r="F26" s="4" t="s">
        <v>750</v>
      </c>
      <c r="G26" s="4" t="s">
        <v>203</v>
      </c>
      <c r="H26" s="4" t="s">
        <v>745</v>
      </c>
      <c r="I26" s="4" t="s">
        <v>751</v>
      </c>
    </row>
    <row r="27" spans="1:9">
      <c r="A27" s="4" t="s">
        <v>752</v>
      </c>
      <c r="B27" s="4">
        <v>4</v>
      </c>
      <c r="C27" s="4" t="s">
        <v>663</v>
      </c>
      <c r="D27" s="4" t="s">
        <v>753</v>
      </c>
      <c r="E27" s="4" t="s">
        <v>754</v>
      </c>
      <c r="F27" s="4" t="s">
        <v>755</v>
      </c>
      <c r="G27" s="4" t="s">
        <v>203</v>
      </c>
      <c r="H27" s="4" t="s">
        <v>756</v>
      </c>
      <c r="I27" s="4" t="s">
        <v>757</v>
      </c>
    </row>
    <row r="28" spans="1:9">
      <c r="A28" s="4" t="s">
        <v>758</v>
      </c>
      <c r="B28" s="4">
        <v>4</v>
      </c>
      <c r="C28" s="4" t="s">
        <v>268</v>
      </c>
      <c r="D28" s="4" t="s">
        <v>759</v>
      </c>
      <c r="E28" s="4" t="s">
        <v>355</v>
      </c>
      <c r="F28" s="4" t="s">
        <v>760</v>
      </c>
      <c r="G28" s="4" t="s">
        <v>203</v>
      </c>
      <c r="H28" s="4" t="s">
        <v>756</v>
      </c>
      <c r="I28" s="4" t="s">
        <v>761</v>
      </c>
    </row>
    <row r="29" spans="1:9">
      <c r="A29" s="4"/>
      <c r="B29" s="4"/>
      <c r="C29" s="4"/>
      <c r="D29" s="4"/>
      <c r="E29" s="4"/>
      <c r="F29" s="4"/>
      <c r="G29" s="4"/>
      <c r="H29" s="4"/>
      <c r="I29" s="4"/>
    </row>
    <row r="30" spans="1:9">
      <c r="A30" s="4"/>
      <c r="B30" s="4"/>
      <c r="C30" s="4"/>
      <c r="D30" s="4"/>
      <c r="E30" s="4"/>
      <c r="F30" s="4"/>
      <c r="G30" s="4"/>
      <c r="H30" s="4"/>
      <c r="I30" s="4"/>
    </row>
    <row r="31" ht="14.55" spans="1:9">
      <c r="A31" s="5" t="s">
        <v>762</v>
      </c>
      <c r="B31" s="5"/>
      <c r="C31" s="5"/>
      <c r="D31" s="5"/>
      <c r="E31" s="5"/>
      <c r="F31" s="5"/>
      <c r="G31" s="5"/>
      <c r="H31" s="5"/>
      <c r="I31" s="5"/>
    </row>
    <row r="32" spans="1:9">
      <c r="A32" s="4" t="s">
        <v>195</v>
      </c>
      <c r="B32" s="4" t="s">
        <v>196</v>
      </c>
      <c r="C32" s="4" t="s">
        <v>644</v>
      </c>
      <c r="D32" s="4" t="s">
        <v>197</v>
      </c>
      <c r="E32" s="4" t="s">
        <v>645</v>
      </c>
      <c r="F32" s="4" t="s">
        <v>167</v>
      </c>
      <c r="G32" s="4" t="s">
        <v>646</v>
      </c>
      <c r="H32" s="4" t="s">
        <v>647</v>
      </c>
      <c r="I32" s="4" t="s">
        <v>88</v>
      </c>
    </row>
    <row r="33" spans="1:9">
      <c r="A33" s="4" t="s">
        <v>310</v>
      </c>
      <c r="B33" s="4">
        <v>4</v>
      </c>
      <c r="C33" s="4" t="s">
        <v>386</v>
      </c>
      <c r="D33" s="4" t="s">
        <v>648</v>
      </c>
      <c r="E33" s="4" t="s">
        <v>649</v>
      </c>
      <c r="F33" s="4" t="s">
        <v>763</v>
      </c>
      <c r="G33" s="4" t="s">
        <v>203</v>
      </c>
      <c r="H33" s="4" t="s">
        <v>651</v>
      </c>
      <c r="I33" s="4" t="s">
        <v>764</v>
      </c>
    </row>
    <row r="34" spans="1:9">
      <c r="A34" s="4">
        <v>4</v>
      </c>
      <c r="B34" s="4">
        <v>1</v>
      </c>
      <c r="C34" s="4" t="s">
        <v>465</v>
      </c>
      <c r="D34" s="4" t="s">
        <v>765</v>
      </c>
      <c r="E34" s="4" t="s">
        <v>343</v>
      </c>
      <c r="F34" s="4" t="s">
        <v>766</v>
      </c>
      <c r="G34" s="4" t="s">
        <v>203</v>
      </c>
      <c r="H34" s="4" t="s">
        <v>651</v>
      </c>
      <c r="I34" s="4" t="s">
        <v>767</v>
      </c>
    </row>
    <row r="35" spans="1:9">
      <c r="A35" s="4">
        <v>5</v>
      </c>
      <c r="B35" s="4">
        <v>1</v>
      </c>
      <c r="C35" s="4" t="s">
        <v>465</v>
      </c>
      <c r="D35" s="4" t="s">
        <v>708</v>
      </c>
      <c r="E35" s="4" t="s">
        <v>709</v>
      </c>
      <c r="F35" s="4" t="s">
        <v>768</v>
      </c>
      <c r="G35" s="4" t="s">
        <v>711</v>
      </c>
      <c r="H35" s="4" t="s">
        <v>651</v>
      </c>
      <c r="I35" s="4" t="s">
        <v>769</v>
      </c>
    </row>
    <row r="36" spans="1:9">
      <c r="A36" s="4" t="s">
        <v>770</v>
      </c>
      <c r="B36" s="4">
        <v>2</v>
      </c>
      <c r="C36" s="4" t="s">
        <v>244</v>
      </c>
      <c r="D36" s="4" t="s">
        <v>689</v>
      </c>
      <c r="E36" s="4" t="s">
        <v>690</v>
      </c>
      <c r="F36" s="4" t="s">
        <v>771</v>
      </c>
      <c r="G36" s="4" t="s">
        <v>692</v>
      </c>
      <c r="H36" s="4" t="s">
        <v>651</v>
      </c>
      <c r="I36" s="4" t="s">
        <v>772</v>
      </c>
    </row>
    <row r="37" spans="1:9">
      <c r="A37" s="4">
        <v>8</v>
      </c>
      <c r="B37" s="4">
        <v>1</v>
      </c>
      <c r="C37" s="4" t="s">
        <v>465</v>
      </c>
      <c r="D37" s="4" t="s">
        <v>697</v>
      </c>
      <c r="E37" s="4" t="s">
        <v>343</v>
      </c>
      <c r="F37" s="4" t="s">
        <v>773</v>
      </c>
      <c r="G37" s="4" t="s">
        <v>203</v>
      </c>
      <c r="H37" s="4" t="s">
        <v>651</v>
      </c>
      <c r="I37" s="4" t="s">
        <v>774</v>
      </c>
    </row>
    <row r="38" spans="1:9">
      <c r="A38" s="4"/>
      <c r="B38" s="4"/>
      <c r="C38" s="4"/>
      <c r="D38" s="4"/>
      <c r="E38" s="4"/>
      <c r="F38" s="4"/>
      <c r="G38" s="4"/>
      <c r="H38" s="4"/>
      <c r="I38" s="4"/>
    </row>
    <row r="39" spans="1:9">
      <c r="A39" s="4"/>
      <c r="B39" s="4"/>
      <c r="C39" s="4"/>
      <c r="D39" s="4"/>
      <c r="E39" s="4"/>
      <c r="F39" s="4"/>
      <c r="G39" s="4"/>
      <c r="H39" s="4"/>
      <c r="I39" s="4"/>
    </row>
    <row r="40" ht="14.55" spans="1:9">
      <c r="A40" s="5" t="s">
        <v>775</v>
      </c>
      <c r="B40" s="5"/>
      <c r="C40" s="5"/>
      <c r="D40" s="5"/>
      <c r="E40" s="5"/>
      <c r="F40" s="5"/>
      <c r="G40" s="5"/>
      <c r="H40" s="5"/>
      <c r="I40" s="5"/>
    </row>
    <row r="41" spans="1:9">
      <c r="A41" s="4" t="s">
        <v>776</v>
      </c>
      <c r="B41" s="4" t="s">
        <v>4</v>
      </c>
      <c r="C41" s="4" t="s">
        <v>81</v>
      </c>
      <c r="D41" s="4" t="s">
        <v>83</v>
      </c>
      <c r="E41" s="4" t="s">
        <v>777</v>
      </c>
      <c r="F41" s="4" t="s">
        <v>6</v>
      </c>
      <c r="G41" s="4" t="s">
        <v>778</v>
      </c>
      <c r="H41" s="4" t="s">
        <v>779</v>
      </c>
      <c r="I41" s="4" t="s">
        <v>88</v>
      </c>
    </row>
    <row r="42" ht="27.45" spans="1:9">
      <c r="A42" s="4" t="s">
        <v>780</v>
      </c>
      <c r="B42" s="4">
        <v>0</v>
      </c>
      <c r="C42" s="4" t="s">
        <v>781</v>
      </c>
      <c r="D42" s="4" t="s">
        <v>782</v>
      </c>
      <c r="E42" s="4" t="s">
        <v>703</v>
      </c>
      <c r="F42" s="4">
        <v>0</v>
      </c>
      <c r="G42" s="4" t="s">
        <v>783</v>
      </c>
      <c r="H42" s="4" t="s">
        <v>784</v>
      </c>
      <c r="I42" s="4" t="s">
        <v>66</v>
      </c>
    </row>
    <row r="43" ht="27.45" spans="1:9">
      <c r="A43" s="4" t="s">
        <v>780</v>
      </c>
      <c r="B43" s="4">
        <v>1</v>
      </c>
      <c r="C43" s="4" t="s">
        <v>785</v>
      </c>
      <c r="D43" s="4" t="s">
        <v>786</v>
      </c>
      <c r="E43" s="4" t="s">
        <v>703</v>
      </c>
      <c r="F43" s="4">
        <v>1</v>
      </c>
      <c r="G43" s="4" t="s">
        <v>787</v>
      </c>
      <c r="H43" s="4" t="s">
        <v>788</v>
      </c>
      <c r="I43" s="4" t="s">
        <v>66</v>
      </c>
    </row>
    <row r="44" ht="27.45" spans="1:9">
      <c r="A44" s="4" t="s">
        <v>780</v>
      </c>
      <c r="B44" s="4">
        <v>2</v>
      </c>
      <c r="C44" s="4" t="s">
        <v>789</v>
      </c>
      <c r="D44" s="4" t="s">
        <v>790</v>
      </c>
      <c r="E44" s="4" t="s">
        <v>703</v>
      </c>
      <c r="F44" s="4">
        <v>2</v>
      </c>
      <c r="G44" s="4" t="s">
        <v>791</v>
      </c>
      <c r="H44" s="4" t="s">
        <v>792</v>
      </c>
      <c r="I44" s="4" t="s">
        <v>66</v>
      </c>
    </row>
    <row r="45" ht="27.45" spans="1:9">
      <c r="A45" s="4" t="s">
        <v>780</v>
      </c>
      <c r="B45" s="4">
        <v>3</v>
      </c>
      <c r="C45" s="4" t="s">
        <v>793</v>
      </c>
      <c r="D45" s="4" t="s">
        <v>794</v>
      </c>
      <c r="E45" s="4" t="s">
        <v>703</v>
      </c>
      <c r="F45" s="4">
        <v>3</v>
      </c>
      <c r="G45" s="4" t="s">
        <v>795</v>
      </c>
      <c r="H45" s="4" t="s">
        <v>796</v>
      </c>
      <c r="I45" s="4" t="s">
        <v>66</v>
      </c>
    </row>
    <row r="46" spans="1:9">
      <c r="A46" s="4"/>
      <c r="B46" s="4"/>
      <c r="C46" s="4"/>
      <c r="D46" s="4"/>
      <c r="E46" s="4" t="s">
        <v>703</v>
      </c>
      <c r="F46" s="4">
        <v>4</v>
      </c>
      <c r="G46" s="4" t="s">
        <v>797</v>
      </c>
      <c r="H46" s="4" t="s">
        <v>798</v>
      </c>
      <c r="I46" s="4" t="s">
        <v>66</v>
      </c>
    </row>
    <row r="47" ht="27.45" spans="1:9">
      <c r="A47" s="4" t="s">
        <v>686</v>
      </c>
      <c r="B47" s="4">
        <v>0</v>
      </c>
      <c r="C47" s="4" t="s">
        <v>799</v>
      </c>
      <c r="D47" s="4" t="s">
        <v>800</v>
      </c>
      <c r="E47" s="4" t="s">
        <v>711</v>
      </c>
      <c r="F47" s="4">
        <v>0</v>
      </c>
      <c r="G47" s="4" t="s">
        <v>801</v>
      </c>
      <c r="H47" s="4" t="s">
        <v>802</v>
      </c>
      <c r="I47" s="4" t="s">
        <v>66</v>
      </c>
    </row>
    <row r="48" ht="27.45" spans="1:9">
      <c r="A48" s="4" t="s">
        <v>686</v>
      </c>
      <c r="B48" s="4">
        <v>1</v>
      </c>
      <c r="C48" s="4" t="s">
        <v>803</v>
      </c>
      <c r="D48" s="4" t="s">
        <v>804</v>
      </c>
      <c r="E48" s="4" t="s">
        <v>711</v>
      </c>
      <c r="F48" s="4">
        <v>1</v>
      </c>
      <c r="G48" s="4" t="s">
        <v>805</v>
      </c>
      <c r="H48" s="4" t="s">
        <v>284</v>
      </c>
      <c r="I48" s="4" t="s">
        <v>66</v>
      </c>
    </row>
    <row r="49" spans="1:9">
      <c r="A49" s="4" t="s">
        <v>686</v>
      </c>
      <c r="B49" s="4">
        <v>2</v>
      </c>
      <c r="C49" s="4" t="s">
        <v>806</v>
      </c>
      <c r="D49" s="4" t="s">
        <v>807</v>
      </c>
      <c r="E49" s="4" t="s">
        <v>711</v>
      </c>
      <c r="F49" s="4">
        <v>2</v>
      </c>
      <c r="G49" s="4" t="s">
        <v>808</v>
      </c>
      <c r="H49" s="4" t="s">
        <v>809</v>
      </c>
      <c r="I49" s="4" t="s">
        <v>66</v>
      </c>
    </row>
    <row r="50" ht="27.45" spans="1:9">
      <c r="A50" s="4" t="s">
        <v>686</v>
      </c>
      <c r="B50" s="4">
        <v>3</v>
      </c>
      <c r="C50" s="4" t="s">
        <v>810</v>
      </c>
      <c r="D50" s="4" t="s">
        <v>811</v>
      </c>
      <c r="E50" s="4" t="s">
        <v>711</v>
      </c>
      <c r="F50" s="4">
        <v>3</v>
      </c>
      <c r="G50" s="4" t="s">
        <v>812</v>
      </c>
      <c r="H50" s="4" t="s">
        <v>813</v>
      </c>
      <c r="I50" s="4" t="s">
        <v>66</v>
      </c>
    </row>
    <row r="51" ht="27.45" spans="1:9">
      <c r="A51" s="4" t="s">
        <v>686</v>
      </c>
      <c r="B51" s="4">
        <v>4</v>
      </c>
      <c r="C51" s="4" t="s">
        <v>814</v>
      </c>
      <c r="D51" s="4" t="s">
        <v>815</v>
      </c>
      <c r="E51" s="4" t="s">
        <v>711</v>
      </c>
      <c r="F51" s="4">
        <v>4</v>
      </c>
      <c r="G51" s="4" t="s">
        <v>816</v>
      </c>
      <c r="H51" s="4" t="s">
        <v>817</v>
      </c>
      <c r="I51" s="4" t="s">
        <v>66</v>
      </c>
    </row>
    <row r="52" ht="27.45" spans="1:9">
      <c r="A52" s="4" t="s">
        <v>686</v>
      </c>
      <c r="B52" s="4">
        <v>5</v>
      </c>
      <c r="C52" s="4" t="s">
        <v>818</v>
      </c>
      <c r="D52" s="4" t="s">
        <v>819</v>
      </c>
      <c r="E52" s="4" t="s">
        <v>711</v>
      </c>
      <c r="F52" s="4">
        <v>5</v>
      </c>
      <c r="G52" s="4" t="s">
        <v>820</v>
      </c>
      <c r="H52" s="4" t="s">
        <v>821</v>
      </c>
      <c r="I52" s="4" t="s">
        <v>66</v>
      </c>
    </row>
    <row r="53" ht="27.45" spans="1:9">
      <c r="A53" s="4" t="s">
        <v>686</v>
      </c>
      <c r="B53" s="4">
        <v>6</v>
      </c>
      <c r="C53" s="4" t="s">
        <v>822</v>
      </c>
      <c r="D53" s="4" t="s">
        <v>823</v>
      </c>
      <c r="E53" s="4" t="s">
        <v>711</v>
      </c>
      <c r="F53" s="4">
        <v>6</v>
      </c>
      <c r="G53" s="4" t="s">
        <v>824</v>
      </c>
      <c r="H53" s="4" t="s">
        <v>825</v>
      </c>
      <c r="I53" s="4" t="s">
        <v>66</v>
      </c>
    </row>
    <row r="54" ht="27.45" spans="1:9">
      <c r="A54" s="4" t="s">
        <v>686</v>
      </c>
      <c r="B54" s="4">
        <v>7</v>
      </c>
      <c r="C54" s="4" t="s">
        <v>826</v>
      </c>
      <c r="D54" s="4" t="s">
        <v>827</v>
      </c>
      <c r="E54" s="4" t="s">
        <v>711</v>
      </c>
      <c r="F54" s="4">
        <v>7</v>
      </c>
      <c r="G54" s="4" t="s">
        <v>828</v>
      </c>
      <c r="H54" s="4" t="s">
        <v>829</v>
      </c>
      <c r="I54" s="4" t="s">
        <v>66</v>
      </c>
    </row>
    <row r="55" ht="27.45" spans="1:9">
      <c r="A55" s="4" t="s">
        <v>686</v>
      </c>
      <c r="B55" s="4">
        <v>8</v>
      </c>
      <c r="C55" s="4" t="s">
        <v>830</v>
      </c>
      <c r="D55" s="4" t="s">
        <v>831</v>
      </c>
      <c r="E55" s="4"/>
      <c r="F55" s="4"/>
      <c r="G55" s="4"/>
      <c r="H55" s="4"/>
      <c r="I55" s="4" t="s">
        <v>66</v>
      </c>
    </row>
  </sheetData>
  <mergeCells count="4">
    <mergeCell ref="A1:I1"/>
    <mergeCell ref="A2:I2"/>
    <mergeCell ref="A31:I31"/>
    <mergeCell ref="A40:I40"/>
  </mergeCells>
  <printOptions horizontalCentered="1"/>
  <pageMargins left="0.25" right="0.25" top="0.4" bottom="0.4" header="0.3" footer="0.3"/>
  <pageSetup paperSize="11" scale="49" fitToHeight="0" orientation="landscape"/>
  <headerFooter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3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7"/>
  <cols>
    <col min="1" max="2" width="12.6416666666667" style="1" customWidth="1"/>
    <col min="3" max="3" width="10.6416666666667" style="1" customWidth="1"/>
    <col min="4" max="4" width="18.6416666666667" style="1" customWidth="1"/>
    <col min="5" max="5" width="13.6416666666667" style="1" customWidth="1"/>
    <col min="6" max="6" width="28.6416666666667" style="1" customWidth="1"/>
    <col min="7" max="7" width="31.6416666666667" style="1" customWidth="1"/>
    <col min="8" max="8" width="42.6416666666667" style="1" customWidth="1"/>
    <col min="9" max="9" width="48.6416666666667" style="1" customWidth="1"/>
    <col min="10" max="11" width="10.6416666666667" style="1" customWidth="1"/>
    <col min="12" max="16384" width="9.14166666666667" style="1"/>
  </cols>
  <sheetData>
    <row r="1" ht="14.55" spans="1:11">
      <c r="A1" s="2" t="s">
        <v>832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833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4" t="s">
        <v>834</v>
      </c>
      <c r="B3" s="4" t="s">
        <v>835</v>
      </c>
      <c r="C3" s="4" t="s">
        <v>836</v>
      </c>
      <c r="D3" s="4" t="s">
        <v>837</v>
      </c>
      <c r="E3" s="4" t="s">
        <v>198</v>
      </c>
      <c r="F3" s="4" t="s">
        <v>838</v>
      </c>
      <c r="G3" s="4" t="s">
        <v>839</v>
      </c>
      <c r="H3" s="4" t="s">
        <v>840</v>
      </c>
      <c r="I3" s="4" t="s">
        <v>841</v>
      </c>
      <c r="J3" s="4" t="s">
        <v>842</v>
      </c>
      <c r="K3" s="4" t="s">
        <v>843</v>
      </c>
    </row>
    <row r="4" spans="1:11">
      <c r="A4" s="4" t="s">
        <v>844</v>
      </c>
      <c r="B4" s="4" t="s">
        <v>494</v>
      </c>
      <c r="C4" s="4">
        <f t="shared" ref="C4:C27" si="0">K4-J4+1</f>
        <v>2</v>
      </c>
      <c r="D4" s="4" t="s">
        <v>244</v>
      </c>
      <c r="E4" s="4" t="s">
        <v>845</v>
      </c>
      <c r="F4" s="4">
        <v>0</v>
      </c>
      <c r="G4" s="4" t="s">
        <v>397</v>
      </c>
      <c r="H4" s="4" t="s">
        <v>846</v>
      </c>
      <c r="I4" s="4" t="s">
        <v>847</v>
      </c>
      <c r="J4" s="4">
        <v>0</v>
      </c>
      <c r="K4" s="4">
        <v>1</v>
      </c>
    </row>
    <row r="5" spans="1:11">
      <c r="A5" s="4" t="s">
        <v>848</v>
      </c>
      <c r="B5" s="4" t="s">
        <v>849</v>
      </c>
      <c r="C5" s="4">
        <f t="shared" si="0"/>
        <v>2</v>
      </c>
      <c r="D5" s="4" t="s">
        <v>244</v>
      </c>
      <c r="E5" s="4" t="s">
        <v>845</v>
      </c>
      <c r="F5" s="4">
        <v>0</v>
      </c>
      <c r="G5" s="4" t="s">
        <v>401</v>
      </c>
      <c r="H5" s="4" t="s">
        <v>850</v>
      </c>
      <c r="I5" s="4" t="s">
        <v>847</v>
      </c>
      <c r="J5" s="4">
        <v>2</v>
      </c>
      <c r="K5" s="4">
        <v>3</v>
      </c>
    </row>
    <row r="6" spans="1:11">
      <c r="A6" s="4" t="s">
        <v>851</v>
      </c>
      <c r="B6" s="4" t="s">
        <v>852</v>
      </c>
      <c r="C6" s="4">
        <f t="shared" si="0"/>
        <v>2</v>
      </c>
      <c r="D6" s="4" t="s">
        <v>244</v>
      </c>
      <c r="E6" s="4" t="s">
        <v>845</v>
      </c>
      <c r="F6" s="4">
        <v>0</v>
      </c>
      <c r="G6" s="4" t="s">
        <v>853</v>
      </c>
      <c r="H6" s="4" t="s">
        <v>850</v>
      </c>
      <c r="I6" s="4" t="s">
        <v>847</v>
      </c>
      <c r="J6" s="4">
        <v>4</v>
      </c>
      <c r="K6" s="4">
        <v>5</v>
      </c>
    </row>
    <row r="7" spans="1:11">
      <c r="A7" s="4" t="s">
        <v>854</v>
      </c>
      <c r="B7" s="4" t="s">
        <v>855</v>
      </c>
      <c r="C7" s="4">
        <f t="shared" si="0"/>
        <v>2</v>
      </c>
      <c r="D7" s="4" t="s">
        <v>244</v>
      </c>
      <c r="E7" s="4" t="s">
        <v>845</v>
      </c>
      <c r="F7" s="4">
        <v>1</v>
      </c>
      <c r="G7" s="4" t="s">
        <v>856</v>
      </c>
      <c r="H7" s="4" t="s">
        <v>857</v>
      </c>
      <c r="I7" s="4" t="s">
        <v>858</v>
      </c>
      <c r="J7" s="4">
        <v>6</v>
      </c>
      <c r="K7" s="4">
        <v>7</v>
      </c>
    </row>
    <row r="8" spans="1:11">
      <c r="A8" s="4" t="s">
        <v>859</v>
      </c>
      <c r="B8" s="4" t="s">
        <v>860</v>
      </c>
      <c r="C8" s="4">
        <f t="shared" si="0"/>
        <v>2</v>
      </c>
      <c r="D8" s="4" t="s">
        <v>244</v>
      </c>
      <c r="E8" s="4" t="s">
        <v>845</v>
      </c>
      <c r="F8" s="4">
        <v>42</v>
      </c>
      <c r="G8" s="4" t="s">
        <v>861</v>
      </c>
      <c r="H8" s="4" t="s">
        <v>862</v>
      </c>
      <c r="I8" s="4" t="s">
        <v>863</v>
      </c>
      <c r="J8" s="4">
        <v>8</v>
      </c>
      <c r="K8" s="4">
        <v>9</v>
      </c>
    </row>
    <row r="9" spans="1:11">
      <c r="A9" s="4" t="s">
        <v>864</v>
      </c>
      <c r="B9" s="4" t="s">
        <v>240</v>
      </c>
      <c r="C9" s="4">
        <f t="shared" si="0"/>
        <v>2</v>
      </c>
      <c r="D9" s="4" t="s">
        <v>244</v>
      </c>
      <c r="E9" s="4" t="s">
        <v>845</v>
      </c>
      <c r="F9" s="4">
        <v>250</v>
      </c>
      <c r="G9" s="4" t="s">
        <v>865</v>
      </c>
      <c r="H9" s="4" t="s">
        <v>866</v>
      </c>
      <c r="I9" s="4" t="s">
        <v>355</v>
      </c>
      <c r="J9" s="4">
        <v>10</v>
      </c>
      <c r="K9" s="4">
        <v>11</v>
      </c>
    </row>
    <row r="10" spans="1:11">
      <c r="A10" s="4" t="s">
        <v>867</v>
      </c>
      <c r="B10" s="4" t="s">
        <v>211</v>
      </c>
      <c r="C10" s="4">
        <f t="shared" si="0"/>
        <v>2</v>
      </c>
      <c r="D10" s="4" t="s">
        <v>244</v>
      </c>
      <c r="E10" s="4" t="s">
        <v>845</v>
      </c>
      <c r="F10" s="4">
        <v>2</v>
      </c>
      <c r="G10" s="4" t="s">
        <v>868</v>
      </c>
      <c r="H10" s="4" t="s">
        <v>869</v>
      </c>
      <c r="I10" s="4" t="s">
        <v>870</v>
      </c>
      <c r="J10" s="4">
        <v>12</v>
      </c>
      <c r="K10" s="4">
        <v>13</v>
      </c>
    </row>
    <row r="11" spans="1:11">
      <c r="A11" s="4" t="s">
        <v>871</v>
      </c>
      <c r="B11" s="4" t="s">
        <v>872</v>
      </c>
      <c r="C11" s="4">
        <f t="shared" si="0"/>
        <v>2</v>
      </c>
      <c r="D11" s="4" t="s">
        <v>873</v>
      </c>
      <c r="E11" s="4" t="s">
        <v>203</v>
      </c>
      <c r="F11" s="4" t="s">
        <v>874</v>
      </c>
      <c r="G11" s="4" t="s">
        <v>875</v>
      </c>
      <c r="H11" s="4" t="s">
        <v>203</v>
      </c>
      <c r="I11" s="4" t="s">
        <v>876</v>
      </c>
      <c r="J11" s="4">
        <v>14</v>
      </c>
      <c r="K11" s="4">
        <v>15</v>
      </c>
    </row>
    <row r="12" spans="1:11">
      <c r="A12" s="4" t="s">
        <v>499</v>
      </c>
      <c r="B12" s="4" t="s">
        <v>504</v>
      </c>
      <c r="C12" s="4">
        <f t="shared" si="0"/>
        <v>2</v>
      </c>
      <c r="D12" s="4" t="s">
        <v>244</v>
      </c>
      <c r="E12" s="4" t="s">
        <v>845</v>
      </c>
      <c r="F12" s="4">
        <v>42</v>
      </c>
      <c r="G12" s="4" t="s">
        <v>877</v>
      </c>
      <c r="H12" s="4" t="s">
        <v>15</v>
      </c>
      <c r="I12" s="4" t="s">
        <v>203</v>
      </c>
      <c r="J12" s="4">
        <v>16</v>
      </c>
      <c r="K12" s="4">
        <v>17</v>
      </c>
    </row>
    <row r="13" spans="1:11">
      <c r="A13" s="4" t="s">
        <v>510</v>
      </c>
      <c r="B13" s="4" t="s">
        <v>516</v>
      </c>
      <c r="C13" s="4">
        <f t="shared" si="0"/>
        <v>2</v>
      </c>
      <c r="D13" s="4" t="s">
        <v>244</v>
      </c>
      <c r="E13" s="4" t="s">
        <v>845</v>
      </c>
      <c r="F13" s="4">
        <v>350</v>
      </c>
      <c r="G13" s="4" t="s">
        <v>878</v>
      </c>
      <c r="H13" s="4" t="s">
        <v>15</v>
      </c>
      <c r="I13" s="4" t="s">
        <v>355</v>
      </c>
      <c r="J13" s="4">
        <v>18</v>
      </c>
      <c r="K13" s="4">
        <v>19</v>
      </c>
    </row>
    <row r="14" spans="1:11">
      <c r="A14" s="4" t="s">
        <v>520</v>
      </c>
      <c r="B14" s="4" t="s">
        <v>524</v>
      </c>
      <c r="C14" s="4">
        <f t="shared" si="0"/>
        <v>2</v>
      </c>
      <c r="D14" s="4" t="s">
        <v>244</v>
      </c>
      <c r="E14" s="4" t="s">
        <v>845</v>
      </c>
      <c r="F14" s="4">
        <v>2</v>
      </c>
      <c r="G14" s="4" t="s">
        <v>879</v>
      </c>
      <c r="H14" s="4" t="s">
        <v>15</v>
      </c>
      <c r="I14" s="4" t="s">
        <v>422</v>
      </c>
      <c r="J14" s="4">
        <v>20</v>
      </c>
      <c r="K14" s="4">
        <v>21</v>
      </c>
    </row>
    <row r="15" spans="1:11">
      <c r="A15" s="4" t="s">
        <v>880</v>
      </c>
      <c r="B15" s="4" t="s">
        <v>881</v>
      </c>
      <c r="C15" s="4">
        <f t="shared" si="0"/>
        <v>2</v>
      </c>
      <c r="D15" s="4" t="s">
        <v>873</v>
      </c>
      <c r="E15" s="4" t="s">
        <v>203</v>
      </c>
      <c r="F15" s="4" t="s">
        <v>874</v>
      </c>
      <c r="G15" s="4" t="s">
        <v>882</v>
      </c>
      <c r="H15" s="4" t="s">
        <v>203</v>
      </c>
      <c r="I15" s="4" t="s">
        <v>876</v>
      </c>
      <c r="J15" s="4">
        <v>22</v>
      </c>
      <c r="K15" s="4">
        <v>23</v>
      </c>
    </row>
    <row r="16" spans="1:11">
      <c r="A16" s="4" t="s">
        <v>883</v>
      </c>
      <c r="B16" s="4" t="s">
        <v>884</v>
      </c>
      <c r="C16" s="4">
        <f t="shared" si="0"/>
        <v>2</v>
      </c>
      <c r="D16" s="4" t="s">
        <v>244</v>
      </c>
      <c r="E16" s="4" t="s">
        <v>845</v>
      </c>
      <c r="F16" s="4">
        <v>42</v>
      </c>
      <c r="G16" s="4" t="s">
        <v>885</v>
      </c>
      <c r="H16" s="4" t="s">
        <v>15</v>
      </c>
      <c r="I16" s="4" t="s">
        <v>203</v>
      </c>
      <c r="J16" s="4">
        <v>24</v>
      </c>
      <c r="K16" s="4">
        <v>25</v>
      </c>
    </row>
    <row r="17" spans="1:11">
      <c r="A17" s="4" t="s">
        <v>886</v>
      </c>
      <c r="B17" s="4" t="s">
        <v>887</v>
      </c>
      <c r="C17" s="4">
        <f t="shared" si="0"/>
        <v>2</v>
      </c>
      <c r="D17" s="4" t="s">
        <v>244</v>
      </c>
      <c r="E17" s="4" t="s">
        <v>845</v>
      </c>
      <c r="F17" s="4">
        <v>450</v>
      </c>
      <c r="G17" s="4" t="s">
        <v>888</v>
      </c>
      <c r="H17" s="4" t="s">
        <v>15</v>
      </c>
      <c r="I17" s="4" t="s">
        <v>355</v>
      </c>
      <c r="J17" s="4">
        <v>26</v>
      </c>
      <c r="K17" s="4">
        <v>27</v>
      </c>
    </row>
    <row r="18" spans="1:11">
      <c r="A18" s="4" t="s">
        <v>889</v>
      </c>
      <c r="B18" s="4" t="s">
        <v>890</v>
      </c>
      <c r="C18" s="4">
        <f t="shared" si="0"/>
        <v>2</v>
      </c>
      <c r="D18" s="4" t="s">
        <v>244</v>
      </c>
      <c r="E18" s="4" t="s">
        <v>845</v>
      </c>
      <c r="F18" s="4">
        <v>2</v>
      </c>
      <c r="G18" s="4" t="s">
        <v>891</v>
      </c>
      <c r="H18" s="4" t="s">
        <v>15</v>
      </c>
      <c r="I18" s="4" t="s">
        <v>422</v>
      </c>
      <c r="J18" s="4">
        <v>28</v>
      </c>
      <c r="K18" s="4">
        <v>29</v>
      </c>
    </row>
    <row r="19" spans="1:11">
      <c r="A19" s="4" t="s">
        <v>892</v>
      </c>
      <c r="B19" s="4" t="s">
        <v>893</v>
      </c>
      <c r="C19" s="4">
        <f t="shared" si="0"/>
        <v>2</v>
      </c>
      <c r="D19" s="4" t="s">
        <v>873</v>
      </c>
      <c r="E19" s="4" t="s">
        <v>203</v>
      </c>
      <c r="F19" s="4" t="s">
        <v>874</v>
      </c>
      <c r="G19" s="4" t="s">
        <v>894</v>
      </c>
      <c r="H19" s="4" t="s">
        <v>203</v>
      </c>
      <c r="I19" s="4" t="s">
        <v>876</v>
      </c>
      <c r="J19" s="4">
        <v>30</v>
      </c>
      <c r="K19" s="4">
        <v>31</v>
      </c>
    </row>
    <row r="20" spans="1:11">
      <c r="A20" s="4" t="s">
        <v>529</v>
      </c>
      <c r="B20" s="4" t="s">
        <v>895</v>
      </c>
      <c r="C20" s="4">
        <f t="shared" si="0"/>
        <v>106</v>
      </c>
      <c r="D20" s="4" t="s">
        <v>896</v>
      </c>
      <c r="E20" s="4" t="s">
        <v>897</v>
      </c>
      <c r="F20" s="4" t="s">
        <v>898</v>
      </c>
      <c r="G20" s="4" t="s">
        <v>899</v>
      </c>
      <c r="H20" s="4" t="s">
        <v>900</v>
      </c>
      <c r="I20" s="4" t="s">
        <v>901</v>
      </c>
      <c r="J20" s="4">
        <v>32</v>
      </c>
      <c r="K20" s="4">
        <v>137</v>
      </c>
    </row>
    <row r="21" spans="1:11">
      <c r="A21" s="4" t="s">
        <v>902</v>
      </c>
      <c r="B21" s="4" t="s">
        <v>903</v>
      </c>
      <c r="C21" s="4">
        <f t="shared" si="0"/>
        <v>104</v>
      </c>
      <c r="D21" s="4" t="s">
        <v>873</v>
      </c>
      <c r="E21" s="4" t="s">
        <v>203</v>
      </c>
      <c r="F21" s="4" t="s">
        <v>874</v>
      </c>
      <c r="G21" s="4" t="s">
        <v>904</v>
      </c>
      <c r="H21" s="4" t="s">
        <v>203</v>
      </c>
      <c r="I21" s="4" t="s">
        <v>876</v>
      </c>
      <c r="J21" s="4">
        <v>138</v>
      </c>
      <c r="K21" s="4">
        <v>241</v>
      </c>
    </row>
    <row r="22" spans="1:11">
      <c r="A22" s="4" t="s">
        <v>905</v>
      </c>
      <c r="B22" s="4" t="s">
        <v>906</v>
      </c>
      <c r="C22" s="4">
        <f t="shared" si="0"/>
        <v>2</v>
      </c>
      <c r="D22" s="4" t="s">
        <v>244</v>
      </c>
      <c r="E22" s="4" t="s">
        <v>845</v>
      </c>
      <c r="F22" s="4">
        <v>0</v>
      </c>
      <c r="G22" s="4" t="s">
        <v>907</v>
      </c>
      <c r="H22" s="4" t="s">
        <v>908</v>
      </c>
      <c r="I22" s="4" t="s">
        <v>909</v>
      </c>
      <c r="J22" s="4">
        <v>242</v>
      </c>
      <c r="K22" s="4">
        <v>243</v>
      </c>
    </row>
    <row r="23" spans="1:11">
      <c r="A23" s="4" t="s">
        <v>910</v>
      </c>
      <c r="B23" s="4" t="s">
        <v>911</v>
      </c>
      <c r="C23" s="4">
        <f t="shared" si="0"/>
        <v>4</v>
      </c>
      <c r="D23" s="4" t="s">
        <v>873</v>
      </c>
      <c r="E23" s="4" t="s">
        <v>203</v>
      </c>
      <c r="F23" s="4" t="s">
        <v>874</v>
      </c>
      <c r="G23" s="4" t="s">
        <v>904</v>
      </c>
      <c r="H23" s="4" t="s">
        <v>203</v>
      </c>
      <c r="I23" s="4" t="s">
        <v>876</v>
      </c>
      <c r="J23" s="4">
        <v>244</v>
      </c>
      <c r="K23" s="4">
        <v>247</v>
      </c>
    </row>
    <row r="24" spans="1:11">
      <c r="A24" s="4" t="s">
        <v>912</v>
      </c>
      <c r="B24" s="4" t="s">
        <v>913</v>
      </c>
      <c r="C24" s="4">
        <f t="shared" si="0"/>
        <v>2</v>
      </c>
      <c r="D24" s="4" t="s">
        <v>244</v>
      </c>
      <c r="E24" s="4" t="s">
        <v>845</v>
      </c>
      <c r="F24" s="4" t="s">
        <v>914</v>
      </c>
      <c r="G24" s="4" t="s">
        <v>427</v>
      </c>
      <c r="H24" s="4" t="s">
        <v>915</v>
      </c>
      <c r="I24" s="4" t="s">
        <v>916</v>
      </c>
      <c r="J24" s="4">
        <v>248</v>
      </c>
      <c r="K24" s="4">
        <v>249</v>
      </c>
    </row>
    <row r="25" spans="1:11">
      <c r="A25" s="4" t="s">
        <v>917</v>
      </c>
      <c r="B25" s="4" t="s">
        <v>918</v>
      </c>
      <c r="C25" s="4">
        <f t="shared" si="0"/>
        <v>2</v>
      </c>
      <c r="D25" s="4" t="s">
        <v>873</v>
      </c>
      <c r="E25" s="4" t="s">
        <v>203</v>
      </c>
      <c r="F25" s="4" t="s">
        <v>874</v>
      </c>
      <c r="G25" s="4" t="s">
        <v>904</v>
      </c>
      <c r="H25" s="4" t="s">
        <v>203</v>
      </c>
      <c r="I25" s="4" t="s">
        <v>919</v>
      </c>
      <c r="J25" s="4">
        <v>250</v>
      </c>
      <c r="K25" s="4">
        <v>251</v>
      </c>
    </row>
    <row r="26" spans="1:11">
      <c r="A26" s="4" t="s">
        <v>920</v>
      </c>
      <c r="B26" s="4" t="s">
        <v>921</v>
      </c>
      <c r="C26" s="4">
        <f t="shared" si="0"/>
        <v>2</v>
      </c>
      <c r="D26" s="4" t="s">
        <v>244</v>
      </c>
      <c r="E26" s="4" t="s">
        <v>845</v>
      </c>
      <c r="F26" s="4">
        <v>1</v>
      </c>
      <c r="G26" s="4" t="s">
        <v>410</v>
      </c>
      <c r="H26" s="4" t="s">
        <v>922</v>
      </c>
      <c r="I26" s="4" t="s">
        <v>923</v>
      </c>
      <c r="J26" s="4">
        <v>252</v>
      </c>
      <c r="K26" s="4">
        <v>253</v>
      </c>
    </row>
    <row r="27" spans="1:11">
      <c r="A27" s="4" t="s">
        <v>924</v>
      </c>
      <c r="B27" s="4" t="s">
        <v>925</v>
      </c>
      <c r="C27" s="4">
        <f t="shared" si="0"/>
        <v>2</v>
      </c>
      <c r="D27" s="4" t="s">
        <v>244</v>
      </c>
      <c r="E27" s="4" t="s">
        <v>845</v>
      </c>
      <c r="F27" s="4" t="s">
        <v>926</v>
      </c>
      <c r="G27" s="4" t="s">
        <v>927</v>
      </c>
      <c r="H27" s="4" t="s">
        <v>928</v>
      </c>
      <c r="I27" s="4" t="s">
        <v>929</v>
      </c>
      <c r="J27" s="4">
        <v>254</v>
      </c>
      <c r="K27" s="4">
        <v>255</v>
      </c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4.55" spans="1:11">
      <c r="A29" s="5" t="s">
        <v>930</v>
      </c>
      <c r="B29" s="5"/>
      <c r="C29" s="5"/>
      <c r="D29" s="5"/>
      <c r="E29" s="5"/>
      <c r="F29" s="5"/>
      <c r="G29" s="5"/>
      <c r="H29" s="5"/>
      <c r="I29" s="5"/>
      <c r="J29" s="4"/>
      <c r="K29" s="4"/>
    </row>
    <row r="30" spans="1:11">
      <c r="A30" s="4" t="s">
        <v>931</v>
      </c>
      <c r="B30" s="4">
        <f>SUM(C4:C27)</f>
        <v>256</v>
      </c>
      <c r="C30" s="4" t="s">
        <v>932</v>
      </c>
      <c r="D30" s="4">
        <v>256</v>
      </c>
      <c r="E30" s="4" t="s">
        <v>933</v>
      </c>
      <c r="F30" s="9" t="str">
        <f>IF(B30=D30,"PASS","FAIL")</f>
        <v>PASS</v>
      </c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7" t="s">
        <v>934</v>
      </c>
      <c r="B32" s="7"/>
      <c r="C32" s="7"/>
      <c r="D32" s="7"/>
      <c r="E32" s="7"/>
      <c r="F32" s="7"/>
      <c r="G32" s="7"/>
      <c r="H32" s="7"/>
      <c r="I32" s="7"/>
      <c r="J32" s="4"/>
      <c r="K32" s="4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4"/>
      <c r="K33" s="4"/>
    </row>
  </sheetData>
  <mergeCells count="4">
    <mergeCell ref="A1:K1"/>
    <mergeCell ref="A2:K2"/>
    <mergeCell ref="A29:I29"/>
    <mergeCell ref="A32:I33"/>
  </mergeCells>
  <printOptions horizontalCentered="1"/>
  <pageMargins left="0.25" right="0.25" top="0.4" bottom="0.4" header="0.3" footer="0.3"/>
  <pageSetup paperSize="11" scale="40" fitToHeight="0" orientation="landscape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9"/>
  <sheetViews>
    <sheetView showGridLines="0" tabSelected="1" workbookViewId="0">
      <pane ySplit="3" topLeftCell="A4" activePane="bottomLeft" state="frozen"/>
      <selection/>
      <selection pane="bottomLeft" activeCell="G48" sqref="G48"/>
    </sheetView>
  </sheetViews>
  <sheetFormatPr defaultColWidth="9" defaultRowHeight="13.7"/>
  <cols>
    <col min="1" max="2" width="12.6416666666667" style="1" customWidth="1"/>
    <col min="3" max="3" width="9.64166666666667" style="1" customWidth="1"/>
    <col min="4" max="4" width="26.6416666666667" style="1" customWidth="1"/>
    <col min="5" max="5" width="16.6416666666667" style="1" customWidth="1"/>
    <col min="6" max="6" width="18.6416666666667" style="1" customWidth="1"/>
    <col min="7" max="7" width="19.6416666666667" style="1" customWidth="1"/>
    <col min="8" max="8" width="26.6416666666667" style="1" customWidth="1"/>
    <col min="9" max="9" width="22.6416666666667" style="1" customWidth="1"/>
    <col min="10" max="10" width="38.6416666666667" style="1" customWidth="1"/>
    <col min="11" max="16384" width="9.14166666666667" style="1"/>
  </cols>
  <sheetData>
    <row r="1" ht="14.55" spans="1:10">
      <c r="A1" s="2" t="s">
        <v>935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936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937</v>
      </c>
      <c r="B3" s="4" t="s">
        <v>938</v>
      </c>
      <c r="C3" s="4" t="s">
        <v>196</v>
      </c>
      <c r="D3" s="4" t="s">
        <v>197</v>
      </c>
      <c r="E3" s="4" t="s">
        <v>644</v>
      </c>
      <c r="F3" s="4" t="s">
        <v>198</v>
      </c>
      <c r="G3" s="4" t="s">
        <v>939</v>
      </c>
      <c r="H3" s="4" t="s">
        <v>457</v>
      </c>
      <c r="I3" s="4" t="s">
        <v>167</v>
      </c>
      <c r="J3" s="4" t="s">
        <v>88</v>
      </c>
    </row>
    <row r="4" ht="27.45" spans="1:10">
      <c r="A4" s="4" t="s">
        <v>529</v>
      </c>
      <c r="B4" s="4" t="s">
        <v>533</v>
      </c>
      <c r="C4" s="4">
        <v>2</v>
      </c>
      <c r="D4" s="4" t="s">
        <v>940</v>
      </c>
      <c r="E4" s="4" t="s">
        <v>941</v>
      </c>
      <c r="F4" s="4" t="s">
        <v>203</v>
      </c>
      <c r="G4" s="4" t="s">
        <v>942</v>
      </c>
      <c r="H4" s="4" t="s">
        <v>104</v>
      </c>
      <c r="I4" s="4" t="s">
        <v>943</v>
      </c>
      <c r="J4" s="4" t="s">
        <v>944</v>
      </c>
    </row>
    <row r="5" spans="1:10">
      <c r="A5" s="4" t="s">
        <v>537</v>
      </c>
      <c r="B5" s="4" t="s">
        <v>537</v>
      </c>
      <c r="C5" s="4">
        <v>1</v>
      </c>
      <c r="D5" s="4" t="s">
        <v>945</v>
      </c>
      <c r="E5" s="4" t="s">
        <v>465</v>
      </c>
      <c r="F5" s="4" t="s">
        <v>203</v>
      </c>
      <c r="G5" s="4">
        <v>8</v>
      </c>
      <c r="H5" s="4" t="s">
        <v>104</v>
      </c>
      <c r="I5" s="4" t="s">
        <v>946</v>
      </c>
      <c r="J5" s="4" t="s">
        <v>947</v>
      </c>
    </row>
    <row r="6" spans="1:10">
      <c r="A6" s="4" t="s">
        <v>541</v>
      </c>
      <c r="B6" s="4" t="s">
        <v>541</v>
      </c>
      <c r="C6" s="4">
        <v>1</v>
      </c>
      <c r="D6" s="4" t="s">
        <v>948</v>
      </c>
      <c r="E6" s="4" t="s">
        <v>465</v>
      </c>
      <c r="F6" s="4" t="s">
        <v>203</v>
      </c>
      <c r="G6" s="4">
        <v>5</v>
      </c>
      <c r="H6" s="4" t="s">
        <v>104</v>
      </c>
      <c r="I6" s="4" t="s">
        <v>949</v>
      </c>
      <c r="J6" s="4" t="s">
        <v>950</v>
      </c>
    </row>
    <row r="7" spans="1:10">
      <c r="A7" s="4" t="s">
        <v>545</v>
      </c>
      <c r="B7" s="4" t="s">
        <v>951</v>
      </c>
      <c r="C7" s="4">
        <v>20</v>
      </c>
      <c r="D7" s="4" t="s">
        <v>952</v>
      </c>
      <c r="E7" s="4" t="s">
        <v>953</v>
      </c>
      <c r="F7" s="4" t="s">
        <v>223</v>
      </c>
      <c r="G7" s="4" t="s">
        <v>954</v>
      </c>
      <c r="H7" s="4" t="s">
        <v>104</v>
      </c>
      <c r="I7" s="4" t="s">
        <v>955</v>
      </c>
      <c r="J7" s="4" t="s">
        <v>956</v>
      </c>
    </row>
    <row r="8" spans="1:10">
      <c r="A8" s="4" t="s">
        <v>957</v>
      </c>
      <c r="B8" s="4" t="s">
        <v>958</v>
      </c>
      <c r="C8" s="4">
        <v>20</v>
      </c>
      <c r="D8" s="4" t="s">
        <v>959</v>
      </c>
      <c r="E8" s="4" t="s">
        <v>953</v>
      </c>
      <c r="F8" s="4" t="s">
        <v>223</v>
      </c>
      <c r="G8" s="4" t="s">
        <v>960</v>
      </c>
      <c r="H8" s="4" t="s">
        <v>104</v>
      </c>
      <c r="I8" s="4" t="s">
        <v>961</v>
      </c>
      <c r="J8" s="4" t="s">
        <v>956</v>
      </c>
    </row>
    <row r="9" spans="1:10">
      <c r="A9" s="4" t="s">
        <v>962</v>
      </c>
      <c r="B9" s="4" t="s">
        <v>963</v>
      </c>
      <c r="C9" s="4">
        <v>20</v>
      </c>
      <c r="D9" s="4" t="s">
        <v>964</v>
      </c>
      <c r="E9" s="4" t="s">
        <v>953</v>
      </c>
      <c r="F9" s="4" t="s">
        <v>223</v>
      </c>
      <c r="G9" s="4" t="s">
        <v>965</v>
      </c>
      <c r="H9" s="4" t="s">
        <v>104</v>
      </c>
      <c r="I9" s="4" t="s">
        <v>966</v>
      </c>
      <c r="J9" s="4" t="s">
        <v>956</v>
      </c>
    </row>
    <row r="10" spans="1:10">
      <c r="A10" s="4" t="s">
        <v>967</v>
      </c>
      <c r="B10" s="4" t="s">
        <v>968</v>
      </c>
      <c r="C10" s="4">
        <v>20</v>
      </c>
      <c r="D10" s="4" t="s">
        <v>969</v>
      </c>
      <c r="E10" s="4" t="s">
        <v>953</v>
      </c>
      <c r="F10" s="4" t="s">
        <v>223</v>
      </c>
      <c r="G10" s="4" t="s">
        <v>970</v>
      </c>
      <c r="H10" s="4" t="s">
        <v>104</v>
      </c>
      <c r="I10" s="4" t="s">
        <v>971</v>
      </c>
      <c r="J10" s="4" t="s">
        <v>956</v>
      </c>
    </row>
    <row r="11" spans="1:10">
      <c r="A11" s="4" t="s">
        <v>972</v>
      </c>
      <c r="B11" s="4" t="s">
        <v>973</v>
      </c>
      <c r="C11" s="4">
        <v>20</v>
      </c>
      <c r="D11" s="4" t="s">
        <v>974</v>
      </c>
      <c r="E11" s="4" t="s">
        <v>953</v>
      </c>
      <c r="F11" s="4" t="s">
        <v>223</v>
      </c>
      <c r="G11" s="4" t="s">
        <v>975</v>
      </c>
      <c r="H11" s="4" t="s">
        <v>104</v>
      </c>
      <c r="I11" s="4" t="s">
        <v>976</v>
      </c>
      <c r="J11" s="4" t="s">
        <v>956</v>
      </c>
    </row>
    <row r="12" spans="1:10">
      <c r="A12" s="4" t="s">
        <v>977</v>
      </c>
      <c r="B12" s="4" t="s">
        <v>895</v>
      </c>
      <c r="C12" s="4">
        <v>2</v>
      </c>
      <c r="D12" s="4" t="s">
        <v>978</v>
      </c>
      <c r="E12" s="4" t="s">
        <v>244</v>
      </c>
      <c r="F12" s="4" t="s">
        <v>223</v>
      </c>
      <c r="G12" s="4" t="s">
        <v>175</v>
      </c>
      <c r="H12" s="4" t="s">
        <v>95</v>
      </c>
      <c r="I12" s="4" t="s">
        <v>979</v>
      </c>
      <c r="J12" s="4" t="s">
        <v>980</v>
      </c>
    </row>
    <row r="13" spans="1:10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4.55" spans="1:10">
      <c r="A15" s="5" t="s">
        <v>981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>
      <c r="A16" s="4" t="s">
        <v>982</v>
      </c>
      <c r="B16" s="4" t="s">
        <v>196</v>
      </c>
      <c r="C16" s="4" t="s">
        <v>983</v>
      </c>
      <c r="D16" s="4" t="s">
        <v>197</v>
      </c>
      <c r="E16" s="4" t="s">
        <v>984</v>
      </c>
      <c r="F16" s="4" t="s">
        <v>985</v>
      </c>
      <c r="G16" s="4" t="s">
        <v>986</v>
      </c>
      <c r="H16" s="4" t="s">
        <v>987</v>
      </c>
      <c r="I16" s="4" t="s">
        <v>988</v>
      </c>
      <c r="J16" s="4" t="s">
        <v>88</v>
      </c>
    </row>
    <row r="17" spans="1:10">
      <c r="A17" s="4" t="s">
        <v>989</v>
      </c>
      <c r="B17" s="4">
        <v>2</v>
      </c>
      <c r="C17" s="4">
        <v>0</v>
      </c>
      <c r="D17" s="4" t="s">
        <v>990</v>
      </c>
      <c r="E17" s="4" t="s">
        <v>991</v>
      </c>
      <c r="F17" s="4" t="s">
        <v>992</v>
      </c>
      <c r="G17" s="4" t="s">
        <v>993</v>
      </c>
      <c r="H17" s="4" t="s">
        <v>994</v>
      </c>
      <c r="I17" s="4" t="s">
        <v>268</v>
      </c>
      <c r="J17" s="4" t="s">
        <v>995</v>
      </c>
    </row>
    <row r="18" spans="1:10">
      <c r="A18" s="4" t="s">
        <v>996</v>
      </c>
      <c r="B18" s="4">
        <v>2</v>
      </c>
      <c r="C18" s="4">
        <v>1</v>
      </c>
      <c r="D18" s="4" t="s">
        <v>997</v>
      </c>
      <c r="E18" s="4" t="s">
        <v>998</v>
      </c>
      <c r="F18" s="4" t="s">
        <v>999</v>
      </c>
      <c r="G18" s="4" t="s">
        <v>1000</v>
      </c>
      <c r="H18" s="4" t="s">
        <v>1001</v>
      </c>
      <c r="I18" s="4" t="s">
        <v>268</v>
      </c>
      <c r="J18" s="4" t="s">
        <v>1002</v>
      </c>
    </row>
    <row r="19" spans="1:10">
      <c r="A19" s="4" t="s">
        <v>1003</v>
      </c>
      <c r="B19" s="4">
        <v>2</v>
      </c>
      <c r="C19" s="4">
        <v>2</v>
      </c>
      <c r="D19" s="4" t="s">
        <v>1004</v>
      </c>
      <c r="E19" s="4" t="s">
        <v>991</v>
      </c>
      <c r="F19" s="4" t="s">
        <v>1005</v>
      </c>
      <c r="G19" s="4" t="s">
        <v>1006</v>
      </c>
      <c r="H19" s="4" t="s">
        <v>1007</v>
      </c>
      <c r="I19" s="4" t="s">
        <v>268</v>
      </c>
      <c r="J19" s="4" t="s">
        <v>1008</v>
      </c>
    </row>
    <row r="20" spans="1:10">
      <c r="A20" s="4" t="s">
        <v>1009</v>
      </c>
      <c r="B20" s="4">
        <v>2</v>
      </c>
      <c r="C20" s="4">
        <v>3</v>
      </c>
      <c r="D20" s="4" t="s">
        <v>1010</v>
      </c>
      <c r="E20" s="4" t="s">
        <v>991</v>
      </c>
      <c r="F20" s="4" t="s">
        <v>1005</v>
      </c>
      <c r="G20" s="4" t="s">
        <v>1006</v>
      </c>
      <c r="H20" s="4" t="s">
        <v>1007</v>
      </c>
      <c r="I20" s="4" t="s">
        <v>268</v>
      </c>
      <c r="J20" s="4" t="s">
        <v>1011</v>
      </c>
    </row>
    <row r="21" spans="1:10">
      <c r="A21" s="4" t="s">
        <v>1012</v>
      </c>
      <c r="B21" s="4">
        <v>2</v>
      </c>
      <c r="C21" s="4">
        <v>4</v>
      </c>
      <c r="D21" s="4" t="s">
        <v>1013</v>
      </c>
      <c r="E21" s="4" t="s">
        <v>991</v>
      </c>
      <c r="F21" s="4" t="s">
        <v>1005</v>
      </c>
      <c r="G21" s="4" t="s">
        <v>1006</v>
      </c>
      <c r="H21" s="4" t="s">
        <v>1007</v>
      </c>
      <c r="I21" s="4" t="s">
        <v>268</v>
      </c>
      <c r="J21" s="4" t="s">
        <v>1014</v>
      </c>
    </row>
    <row r="22" spans="1:10">
      <c r="A22" s="4" t="s">
        <v>1015</v>
      </c>
      <c r="B22" s="4">
        <v>2</v>
      </c>
      <c r="C22" s="4">
        <v>5</v>
      </c>
      <c r="D22" s="4" t="s">
        <v>1016</v>
      </c>
      <c r="E22" s="4" t="s">
        <v>991</v>
      </c>
      <c r="F22" s="4" t="s">
        <v>999</v>
      </c>
      <c r="G22" s="4" t="s">
        <v>1017</v>
      </c>
      <c r="H22" s="4" t="s">
        <v>1018</v>
      </c>
      <c r="I22" s="4" t="s">
        <v>268</v>
      </c>
      <c r="J22" s="4" t="s">
        <v>1019</v>
      </c>
    </row>
    <row r="23" spans="1:10">
      <c r="A23" s="4" t="s">
        <v>1020</v>
      </c>
      <c r="B23" s="4">
        <v>2</v>
      </c>
      <c r="C23" s="4">
        <v>6</v>
      </c>
      <c r="D23" s="4" t="s">
        <v>1021</v>
      </c>
      <c r="E23" s="4" t="s">
        <v>991</v>
      </c>
      <c r="F23" s="4" t="s">
        <v>999</v>
      </c>
      <c r="G23" s="4" t="s">
        <v>1017</v>
      </c>
      <c r="H23" s="4" t="s">
        <v>1022</v>
      </c>
      <c r="I23" s="4" t="s">
        <v>268</v>
      </c>
      <c r="J23" s="4" t="s">
        <v>1023</v>
      </c>
    </row>
    <row r="24" spans="1:10">
      <c r="A24" s="4" t="s">
        <v>1024</v>
      </c>
      <c r="B24" s="4">
        <v>2</v>
      </c>
      <c r="C24" s="4">
        <v>7</v>
      </c>
      <c r="D24" s="4" t="s">
        <v>1025</v>
      </c>
      <c r="E24" s="4" t="s">
        <v>991</v>
      </c>
      <c r="F24" s="4" t="s">
        <v>1026</v>
      </c>
      <c r="G24" s="4" t="s">
        <v>1006</v>
      </c>
      <c r="H24" s="4" t="s">
        <v>1027</v>
      </c>
      <c r="I24" s="4" t="s">
        <v>1028</v>
      </c>
      <c r="J24" s="4" t="s">
        <v>1029</v>
      </c>
    </row>
    <row r="25" spans="1:10">
      <c r="A25" s="4" t="s">
        <v>1030</v>
      </c>
      <c r="B25" s="4">
        <v>2</v>
      </c>
      <c r="C25" s="4">
        <v>8</v>
      </c>
      <c r="D25" s="4" t="s">
        <v>1031</v>
      </c>
      <c r="E25" s="4" t="s">
        <v>991</v>
      </c>
      <c r="F25" s="4" t="s">
        <v>999</v>
      </c>
      <c r="G25" s="4" t="s">
        <v>1017</v>
      </c>
      <c r="H25" s="4" t="s">
        <v>1032</v>
      </c>
      <c r="I25" s="4" t="s">
        <v>268</v>
      </c>
      <c r="J25" s="4" t="s">
        <v>1033</v>
      </c>
    </row>
    <row r="26" spans="1:10">
      <c r="A26" s="4" t="s">
        <v>1034</v>
      </c>
      <c r="B26" s="4">
        <v>2</v>
      </c>
      <c r="C26" s="4">
        <v>9</v>
      </c>
      <c r="D26" s="4" t="s">
        <v>1035</v>
      </c>
      <c r="E26" s="4" t="s">
        <v>991</v>
      </c>
      <c r="F26" s="4" t="s">
        <v>999</v>
      </c>
      <c r="G26" s="4" t="s">
        <v>1017</v>
      </c>
      <c r="H26" s="4" t="s">
        <v>1036</v>
      </c>
      <c r="I26" s="4" t="s">
        <v>268</v>
      </c>
      <c r="J26" s="4" t="s">
        <v>1037</v>
      </c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4.55" spans="1:10">
      <c r="A29" s="5" t="s">
        <v>1038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4" t="s">
        <v>1039</v>
      </c>
      <c r="B30" s="4" t="s">
        <v>1040</v>
      </c>
      <c r="C30" s="4" t="s">
        <v>1041</v>
      </c>
      <c r="D30" s="4" t="s">
        <v>1042</v>
      </c>
      <c r="E30" s="4" t="s">
        <v>1043</v>
      </c>
      <c r="F30" s="4" t="s">
        <v>1044</v>
      </c>
      <c r="G30" s="4" t="s">
        <v>1045</v>
      </c>
      <c r="H30" s="4" t="s">
        <v>1046</v>
      </c>
      <c r="I30" s="4" t="s">
        <v>1047</v>
      </c>
      <c r="J30" s="4" t="s">
        <v>1048</v>
      </c>
    </row>
    <row r="31" spans="1:10">
      <c r="A31" s="4">
        <v>0</v>
      </c>
      <c r="B31" s="4" t="s">
        <v>1049</v>
      </c>
      <c r="C31" s="4">
        <v>0.38</v>
      </c>
      <c r="D31" s="4">
        <v>0</v>
      </c>
      <c r="E31" s="4">
        <v>20000</v>
      </c>
      <c r="F31" s="4">
        <v>6000</v>
      </c>
      <c r="G31" s="4">
        <v>15000</v>
      </c>
      <c r="H31" s="4">
        <v>30</v>
      </c>
      <c r="I31" s="4">
        <v>50</v>
      </c>
      <c r="J31" s="4" t="s">
        <v>1050</v>
      </c>
    </row>
    <row r="32" spans="1:10">
      <c r="A32" s="4">
        <v>1</v>
      </c>
      <c r="B32" s="4" t="s">
        <v>960</v>
      </c>
      <c r="C32" s="4">
        <v>0.37</v>
      </c>
      <c r="D32" s="4">
        <v>0</v>
      </c>
      <c r="E32" s="4">
        <v>30000</v>
      </c>
      <c r="F32" s="4">
        <v>9000</v>
      </c>
      <c r="G32" s="4">
        <v>18000</v>
      </c>
      <c r="H32" s="4">
        <v>90</v>
      </c>
      <c r="I32" s="4">
        <v>92</v>
      </c>
      <c r="J32" s="4" t="s">
        <v>1051</v>
      </c>
    </row>
    <row r="33" spans="1:10">
      <c r="A33" s="4">
        <v>2</v>
      </c>
      <c r="B33" s="4" t="s">
        <v>965</v>
      </c>
      <c r="C33" s="4">
        <v>0.37</v>
      </c>
      <c r="D33" s="4">
        <v>0</v>
      </c>
      <c r="E33" s="4">
        <v>40000</v>
      </c>
      <c r="F33" s="4">
        <v>9000</v>
      </c>
      <c r="G33" s="4">
        <v>20000</v>
      </c>
      <c r="H33" s="4">
        <v>65</v>
      </c>
      <c r="I33" s="4">
        <v>70</v>
      </c>
      <c r="J33" s="4" t="s">
        <v>1052</v>
      </c>
    </row>
    <row r="34" spans="1:10">
      <c r="A34" s="4">
        <v>3</v>
      </c>
      <c r="B34" s="4" t="s">
        <v>970</v>
      </c>
      <c r="C34" s="4">
        <v>0.37</v>
      </c>
      <c r="D34" s="4">
        <v>0</v>
      </c>
      <c r="E34" s="4">
        <v>45000</v>
      </c>
      <c r="F34" s="4">
        <v>9000</v>
      </c>
      <c r="G34" s="4">
        <v>20000</v>
      </c>
      <c r="H34" s="4">
        <v>55</v>
      </c>
      <c r="I34" s="4">
        <v>60</v>
      </c>
      <c r="J34" s="4" t="s">
        <v>1053</v>
      </c>
    </row>
    <row r="35" spans="1:10">
      <c r="A35" s="4">
        <v>4</v>
      </c>
      <c r="B35" s="4" t="s">
        <v>975</v>
      </c>
      <c r="C35" s="4">
        <v>0.37</v>
      </c>
      <c r="D35" s="4">
        <v>0</v>
      </c>
      <c r="E35" s="4">
        <v>45000</v>
      </c>
      <c r="F35" s="4">
        <v>9000</v>
      </c>
      <c r="G35" s="4">
        <v>20000</v>
      </c>
      <c r="H35" s="4">
        <v>50</v>
      </c>
      <c r="I35" s="4">
        <v>50</v>
      </c>
      <c r="J35" s="4" t="s">
        <v>1054</v>
      </c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9" t="s">
        <v>1055</v>
      </c>
      <c r="B38" s="9"/>
      <c r="C38" s="9"/>
      <c r="D38" s="9"/>
      <c r="E38" s="9"/>
      <c r="F38" s="9"/>
      <c r="G38" s="9"/>
      <c r="H38" s="9"/>
      <c r="I38" s="9"/>
      <c r="J38" s="9"/>
    </row>
    <row r="39" spans="1:10">
      <c r="A39" s="9"/>
      <c r="B39" s="9"/>
      <c r="C39" s="9"/>
      <c r="D39" s="9"/>
      <c r="E39" s="9"/>
      <c r="F39" s="9"/>
      <c r="G39" s="9"/>
      <c r="H39" s="9"/>
      <c r="I39" s="9"/>
      <c r="J39" s="9"/>
    </row>
  </sheetData>
  <mergeCells count="5">
    <mergeCell ref="A1:J1"/>
    <mergeCell ref="A2:J2"/>
    <mergeCell ref="A15:J15"/>
    <mergeCell ref="A29:J29"/>
    <mergeCell ref="A38:J39"/>
  </mergeCells>
  <printOptions horizontalCentered="1"/>
  <pageMargins left="0.25" right="0.25" top="0.4" bottom="0.4" header="0.3" footer="0.3"/>
  <pageSetup paperSize="11" scale="47" fitToHeight="0" orientation="landscape"/>
  <headerFooter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6"/>
  <sheetViews>
    <sheetView showGridLines="0" workbookViewId="0">
      <pane ySplit="3" topLeftCell="A4" activePane="bottomLeft" state="frozen"/>
      <selection/>
      <selection pane="bottomLeft" activeCell="A4" sqref="A4"/>
    </sheetView>
  </sheetViews>
  <sheetFormatPr defaultColWidth="9" defaultRowHeight="13.7" outlineLevelCol="7"/>
  <cols>
    <col min="1" max="2" width="12.6416666666667" style="1" customWidth="1"/>
    <col min="3" max="3" width="10.6416666666667" style="1" customWidth="1"/>
    <col min="4" max="4" width="17.6416666666667" style="1" customWidth="1"/>
    <col min="5" max="5" width="13.6416666666667" style="1" customWidth="1"/>
    <col min="6" max="6" width="28.6416666666667" style="1" customWidth="1"/>
    <col min="7" max="7" width="33.6416666666667" style="1" customWidth="1"/>
    <col min="8" max="8" width="45.6416666666667" style="1" customWidth="1"/>
    <col min="9" max="16384" width="9.14166666666667" style="1"/>
  </cols>
  <sheetData>
    <row r="1" ht="14.55" spans="1:8">
      <c r="A1" s="2" t="s">
        <v>1056</v>
      </c>
      <c r="B1" s="2"/>
      <c r="C1" s="2"/>
      <c r="D1" s="2"/>
      <c r="E1" s="2"/>
      <c r="F1" s="2"/>
      <c r="G1" s="2"/>
      <c r="H1" s="2"/>
    </row>
    <row r="2" spans="1:8">
      <c r="A2" s="3" t="s">
        <v>1057</v>
      </c>
      <c r="B2" s="3"/>
      <c r="C2" s="3"/>
      <c r="D2" s="3"/>
      <c r="E2" s="3"/>
      <c r="F2" s="3"/>
      <c r="G2" s="3"/>
      <c r="H2" s="3"/>
    </row>
    <row r="3" spans="1:8">
      <c r="A3" s="4" t="s">
        <v>937</v>
      </c>
      <c r="B3" s="4" t="s">
        <v>938</v>
      </c>
      <c r="C3" s="4" t="s">
        <v>196</v>
      </c>
      <c r="D3" s="4" t="s">
        <v>644</v>
      </c>
      <c r="E3" s="4" t="s">
        <v>198</v>
      </c>
      <c r="F3" s="4" t="s">
        <v>1058</v>
      </c>
      <c r="G3" s="4" t="s">
        <v>839</v>
      </c>
      <c r="H3" s="4" t="s">
        <v>88</v>
      </c>
    </row>
    <row r="4" spans="1:8">
      <c r="A4" s="4" t="s">
        <v>844</v>
      </c>
      <c r="B4" s="4" t="s">
        <v>844</v>
      </c>
      <c r="C4" s="4">
        <v>1</v>
      </c>
      <c r="D4" s="4" t="s">
        <v>873</v>
      </c>
      <c r="E4" s="4" t="s">
        <v>203</v>
      </c>
      <c r="F4" s="4" t="s">
        <v>874</v>
      </c>
      <c r="G4" s="4" t="s">
        <v>1059</v>
      </c>
      <c r="H4" s="4" t="s">
        <v>76</v>
      </c>
    </row>
    <row r="5" spans="1:8">
      <c r="A5" s="4" t="s">
        <v>494</v>
      </c>
      <c r="B5" s="4" t="s">
        <v>848</v>
      </c>
      <c r="C5" s="4">
        <v>2</v>
      </c>
      <c r="D5" s="4" t="s">
        <v>244</v>
      </c>
      <c r="E5" s="4" t="s">
        <v>845</v>
      </c>
      <c r="F5" s="4" t="s">
        <v>1060</v>
      </c>
      <c r="G5" s="4" t="s">
        <v>1061</v>
      </c>
      <c r="H5" s="4" t="s">
        <v>1062</v>
      </c>
    </row>
    <row r="6" spans="1:8">
      <c r="A6" s="4" t="s">
        <v>849</v>
      </c>
      <c r="B6" s="4" t="s">
        <v>851</v>
      </c>
      <c r="C6" s="4">
        <v>2</v>
      </c>
      <c r="D6" s="4" t="s">
        <v>244</v>
      </c>
      <c r="E6" s="4" t="s">
        <v>845</v>
      </c>
      <c r="F6" s="4" t="s">
        <v>1063</v>
      </c>
      <c r="G6" s="4" t="s">
        <v>1064</v>
      </c>
      <c r="H6" s="4" t="s">
        <v>1065</v>
      </c>
    </row>
    <row r="7" spans="1:8">
      <c r="A7" s="4" t="s">
        <v>852</v>
      </c>
      <c r="B7" s="4" t="s">
        <v>925</v>
      </c>
      <c r="C7" s="4">
        <v>251</v>
      </c>
      <c r="D7" s="4" t="s">
        <v>873</v>
      </c>
      <c r="E7" s="4" t="s">
        <v>203</v>
      </c>
      <c r="F7" s="4" t="s">
        <v>874</v>
      </c>
      <c r="G7" s="4" t="s">
        <v>1059</v>
      </c>
      <c r="H7" s="4" t="s">
        <v>1066</v>
      </c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/>
      <c r="B9" s="4"/>
      <c r="C9" s="4"/>
      <c r="D9" s="4"/>
      <c r="E9" s="4"/>
      <c r="F9" s="4"/>
      <c r="G9" s="4"/>
      <c r="H9" s="4"/>
    </row>
    <row r="10" ht="14.55" spans="1:8">
      <c r="A10" s="5" t="s">
        <v>1067</v>
      </c>
      <c r="B10" s="5"/>
      <c r="C10" s="5"/>
      <c r="D10" s="5"/>
      <c r="E10" s="5"/>
      <c r="F10" s="5"/>
      <c r="G10" s="5"/>
      <c r="H10" s="5"/>
    </row>
    <row r="11" spans="1:8">
      <c r="A11" s="4" t="s">
        <v>1068</v>
      </c>
      <c r="B11" s="4" t="s">
        <v>1069</v>
      </c>
      <c r="C11" s="4" t="s">
        <v>1070</v>
      </c>
      <c r="D11" s="4" t="s">
        <v>1071</v>
      </c>
      <c r="E11" s="4" t="s">
        <v>1072</v>
      </c>
      <c r="F11" s="4" t="s">
        <v>1073</v>
      </c>
      <c r="G11" s="4" t="s">
        <v>1074</v>
      </c>
      <c r="H11" s="4" t="s">
        <v>167</v>
      </c>
    </row>
    <row r="12" ht="41.15" spans="1:8">
      <c r="A12" s="4">
        <v>1</v>
      </c>
      <c r="B12" s="4" t="s">
        <v>1075</v>
      </c>
      <c r="C12" s="4" t="s">
        <v>203</v>
      </c>
      <c r="D12" s="4" t="s">
        <v>203</v>
      </c>
      <c r="E12" s="4" t="s">
        <v>783</v>
      </c>
      <c r="F12" s="4">
        <v>0</v>
      </c>
      <c r="G12" s="4" t="s">
        <v>1076</v>
      </c>
      <c r="H12" s="4" t="s">
        <v>1077</v>
      </c>
    </row>
    <row r="13" ht="27.45" spans="1:8">
      <c r="A13" s="4">
        <v>2</v>
      </c>
      <c r="B13" s="4" t="s">
        <v>1078</v>
      </c>
      <c r="C13" s="4" t="s">
        <v>29</v>
      </c>
      <c r="D13" s="4" t="s">
        <v>1079</v>
      </c>
      <c r="E13" s="4" t="s">
        <v>797</v>
      </c>
      <c r="F13" s="4">
        <v>1</v>
      </c>
      <c r="G13" s="4" t="s">
        <v>1080</v>
      </c>
      <c r="H13" s="4" t="s">
        <v>1081</v>
      </c>
    </row>
    <row r="14" ht="27.45" spans="1:8">
      <c r="A14" s="4">
        <v>3</v>
      </c>
      <c r="B14" s="4" t="s">
        <v>1082</v>
      </c>
      <c r="C14" s="4" t="s">
        <v>1083</v>
      </c>
      <c r="D14" s="4" t="s">
        <v>1084</v>
      </c>
      <c r="E14" s="4" t="s">
        <v>787</v>
      </c>
      <c r="F14" s="4">
        <v>1</v>
      </c>
      <c r="G14" s="4" t="s">
        <v>1080</v>
      </c>
      <c r="H14" s="4" t="s">
        <v>1085</v>
      </c>
    </row>
    <row r="15" ht="27.45" spans="1:8">
      <c r="A15" s="4">
        <v>4</v>
      </c>
      <c r="B15" s="4" t="s">
        <v>1082</v>
      </c>
      <c r="C15" s="4" t="s">
        <v>1083</v>
      </c>
      <c r="D15" s="4" t="s">
        <v>1086</v>
      </c>
      <c r="E15" s="4" t="s">
        <v>795</v>
      </c>
      <c r="F15" s="4">
        <v>0</v>
      </c>
      <c r="G15" s="4" t="s">
        <v>1076</v>
      </c>
      <c r="H15" s="4" t="s">
        <v>1087</v>
      </c>
    </row>
    <row r="16" ht="27.45" spans="1:8">
      <c r="A16" s="4">
        <v>5</v>
      </c>
      <c r="B16" s="4" t="s">
        <v>1088</v>
      </c>
      <c r="C16" s="4" t="s">
        <v>1083</v>
      </c>
      <c r="D16" s="4" t="s">
        <v>1089</v>
      </c>
      <c r="E16" s="4" t="s">
        <v>787</v>
      </c>
      <c r="F16" s="4">
        <v>1</v>
      </c>
      <c r="G16" s="4" t="s">
        <v>1080</v>
      </c>
      <c r="H16" s="4" t="s">
        <v>1090</v>
      </c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ht="14.55" spans="1:8">
      <c r="A19" s="6" t="s">
        <v>1091</v>
      </c>
      <c r="B19" s="6"/>
      <c r="C19" s="6"/>
      <c r="D19" s="6"/>
      <c r="E19" s="6"/>
      <c r="F19" s="6"/>
      <c r="G19" s="6"/>
      <c r="H19" s="6"/>
    </row>
    <row r="20" spans="1:8">
      <c r="A20" s="7" t="s">
        <v>1092</v>
      </c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8" t="s">
        <v>1093</v>
      </c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</sheetData>
  <mergeCells count="6">
    <mergeCell ref="A1:H1"/>
    <mergeCell ref="A2:H2"/>
    <mergeCell ref="A10:H10"/>
    <mergeCell ref="A19:H19"/>
    <mergeCell ref="A20:H22"/>
    <mergeCell ref="A24:H26"/>
  </mergeCells>
  <printOptions horizontalCentered="1"/>
  <pageMargins left="0.25" right="0.25" top="0.4" bottom="0.4" header="0.3" footer="0.3"/>
  <pageSetup paperSize="11" scale="55" fitToHeight="0" orientation="landscape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总览</vt:lpstr>
      <vt:lpstr>故障码</vt:lpstr>
      <vt:lpstr>屏幕协议</vt:lpstr>
      <vt:lpstr>屏幕命令</vt:lpstr>
      <vt:lpstr>调参协议</vt:lpstr>
      <vt:lpstr>遥测枚举</vt:lpstr>
      <vt:lpstr>主板EEPROM</vt:lpstr>
      <vt:lpstr>压力存储</vt:lpstr>
      <vt:lpstr>眼盾EEPROM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zhang</dc:creator>
  <cp:lastModifiedBy>退一步海阔天空</cp:lastModifiedBy>
  <dcterms:created xsi:type="dcterms:W3CDTF">2026-09-02T01:23:00Z</dcterms:created>
  <dcterms:modified xsi:type="dcterms:W3CDTF">2026-09-02T01:33:32Z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3AB07D28C4294D1992A9A9692626DB4A_12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